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X:\London\Resources\N-Z\UKOXD-UKRM Shared\ROVA\UKRM Query Log\"/>
    </mc:Choice>
  </mc:AlternateContent>
  <xr:revisionPtr revIDLastSave="0" documentId="13_ncr:1_{F8088F74-03E7-4254-B2C3-8E996883930F}" xr6:coauthVersionLast="47" xr6:coauthVersionMax="47" xr10:uidLastSave="{00000000-0000-0000-0000-000000000000}"/>
  <bookViews>
    <workbookView xWindow="28680" yWindow="-2250" windowWidth="29040" windowHeight="17520" xr2:uid="{2DCE842A-5A0A-460D-BCAD-6005255B9D05}"/>
  </bookViews>
  <sheets>
    <sheet name="Question_Log" sheetId="1" r:id="rId1"/>
    <sheet name="Sheet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<sst xmlns="http://schemas.openxmlformats.org/spreadsheetml/2006/main" count="92" uniqueCount="69">
  <si>
    <t>Developer Comment / Feedback</t>
  </si>
  <si>
    <t>Validation Observation</t>
  </si>
  <si>
    <t>Reference</t>
  </si>
  <si>
    <t>ID</t>
  </si>
  <si>
    <t>Validation Component</t>
  </si>
  <si>
    <t>MRM Conclusion</t>
  </si>
  <si>
    <t>Closed</t>
  </si>
  <si>
    <t>Follow-up query Raised</t>
  </si>
  <si>
    <t>Follow-up query</t>
  </si>
  <si>
    <t>Finding Raised</t>
  </si>
  <si>
    <t>Data</t>
  </si>
  <si>
    <t>Implementation and Use</t>
  </si>
  <si>
    <t>Model Controls</t>
  </si>
  <si>
    <t>Model Framework</t>
  </si>
  <si>
    <t>Modelling Assumptions</t>
  </si>
  <si>
    <t>Predictive Ability and Backtesting</t>
  </si>
  <si>
    <t>Regulatory Compliance</t>
  </si>
  <si>
    <t>Date</t>
  </si>
  <si>
    <r>
      <rPr>
        <b/>
        <sz val="9"/>
        <color theme="1"/>
        <rFont val="Calibri"/>
        <family val="2"/>
        <scheme val="minor"/>
      </rPr>
      <t>NIFA07-2026-06-12-14.30 Data</t>
    </r>
    <r>
      <rPr>
        <sz val="9"/>
        <color theme="1"/>
        <rFont val="Calibri"/>
        <family val="2"/>
        <scheme val="minor"/>
      </rPr>
      <t xml:space="preserve">
"X:\London\Resources\N-Z\UKOXD-UKRM Shared\ROVA\NIFA07-2026-06-12-14.30 HAMT Dev Change\NIFA07-2026-06-12-14.30 Data.xlsx"
</t>
    </r>
    <r>
      <rPr>
        <b/>
        <sz val="9"/>
        <color theme="1"/>
        <rFont val="Calibri"/>
        <family val="2"/>
        <scheme val="minor"/>
      </rPr>
      <t>NIFA07-2026-06-12-14.30_Validation_2026-06-12</t>
    </r>
    <r>
      <rPr>
        <sz val="9"/>
        <color theme="1"/>
        <rFont val="Calibri"/>
        <family val="2"/>
        <scheme val="minor"/>
      </rPr>
      <t xml:space="preserve">
"X:\London\Resources\N-Z\UKOXD-UKRM Shared\ROVA\NIFA07-2026-06-12-14.30 HAMT Dev Change\NIFA07-2026-06-12-14.30_Validation_2026-06-12.pdf"</t>
    </r>
  </si>
  <si>
    <r>
      <rPr>
        <b/>
        <sz val="9"/>
        <color theme="1"/>
        <rFont val="Calibri"/>
        <family val="2"/>
        <scheme val="minor"/>
      </rPr>
      <t>NIFA07-2026-06-12-14.30 Data</t>
    </r>
    <r>
      <rPr>
        <sz val="9"/>
        <color theme="1"/>
        <rFont val="Calibri"/>
        <family val="2"/>
        <scheme val="minor"/>
      </rPr>
      <t xml:space="preserve">
"X:\London\Resources\N-Z\UKOXD-UKRM Shared\ROVA\NIFA07-2026-06-12-14.30 HAMT Dev Change\NIFA07-2026-06-12-14.30 Data.xlsx"
</t>
    </r>
    <r>
      <rPr>
        <b/>
        <sz val="9"/>
        <color theme="1"/>
        <rFont val="Calibri"/>
        <family val="2"/>
        <scheme val="minor"/>
      </rPr>
      <t>2026-06-12 Controlset Change Document</t>
    </r>
    <r>
      <rPr>
        <sz val="9"/>
        <color theme="1"/>
        <rFont val="Calibri"/>
        <family val="2"/>
        <scheme val="minor"/>
      </rPr>
      <t xml:space="preserve">
"X:\London\Resources\N-Z\UKOXD-UKRM Shared\ROVA\NIFA07-2026-06-12-14.30 HAMT Dev Change\2026-06-12 Controlset Change Document.docx"</t>
    </r>
  </si>
  <si>
    <r>
      <rPr>
        <b/>
        <sz val="9"/>
        <color theme="1"/>
        <rFont val="Calibri"/>
        <family val="2"/>
        <scheme val="minor"/>
      </rPr>
      <t>ABNM RSK P HAmntDev Proposal – Controlset NIFA07-2026-06-12-14.30, page 4</t>
    </r>
    <r>
      <rPr>
        <sz val="9"/>
        <color theme="1"/>
        <rFont val="Calibri"/>
        <family val="2"/>
        <scheme val="minor"/>
      </rPr>
      <t xml:space="preserve">: rows for transactions 41294847031 (AMT_BASE_CURR 131,685.61, 2026-04-07) and 41303975087 (173,049.43, 2026-04-13), ISOCURRCODE "GBP". Page 3 "Scenario Logic": "HighAmountDT x&gt;£9.48K". Page 7 "Search Criteria": AmountFrom 9400.0.
Controlset Change Document – NIFA07-2026-06-12-14.30, page 1, image below the second paragraph of "Summary/Justification": 10,500.00 GBP and 13,700.00 GBP. 
</t>
    </r>
    <r>
      <rPr>
        <i/>
        <sz val="8"/>
        <color theme="1"/>
        <rFont val="Calibri"/>
        <family val="2"/>
        <scheme val="minor"/>
      </rPr>
      <t>"X:\London\Resources\N-Z\UKOXD-UKRM Shared\ROVA\NIFA07-2026-06-12-14.30 HAMT Dev Change\ABNM RSK P HAmntDev_Proposal_2026-06-12.pdf"</t>
    </r>
    <r>
      <rPr>
        <sz val="9"/>
        <color theme="1"/>
        <rFont val="Calibri"/>
        <family val="2"/>
        <scheme val="minor"/>
      </rPr>
      <t xml:space="preserve">
</t>
    </r>
    <r>
      <rPr>
        <b/>
        <sz val="9"/>
        <color theme="1"/>
        <rFont val="Calibri"/>
        <family val="2"/>
        <scheme val="minor"/>
      </rPr>
      <t>NIFA07-2026-06-12-14.30_NIFA07_ABNM_RSK_P_HAmntDev.json, field "fdesc"</t>
    </r>
    <r>
      <rPr>
        <sz val="9"/>
        <color theme="1"/>
        <rFont val="Calibri"/>
        <family val="2"/>
        <scheme val="minor"/>
      </rPr>
      <t xml:space="preserve">: "payments in &gt;9.48K value range".
</t>
    </r>
    <r>
      <rPr>
        <b/>
        <sz val="9"/>
        <color theme="1"/>
        <rFont val="Calibri"/>
        <family val="2"/>
        <scheme val="minor"/>
      </rPr>
      <t>Controlset Validation  NIFA07-2026-06-12-14.30, pages 3–5:</t>
    </r>
    <r>
      <rPr>
        <sz val="9"/>
        <color theme="1"/>
        <rFont val="Calibri"/>
        <family val="2"/>
        <scheme val="minor"/>
      </rPr>
      <t xml:space="preserve"> instances such as SumtoBene1Day &gt;£457, &gt;£2347, &gt;£12.6K.</t>
    </r>
  </si>
  <si>
    <r>
      <rPr>
        <b/>
        <sz val="9"/>
        <color theme="1"/>
        <rFont val="Calibri"/>
        <family val="2"/>
        <scheme val="minor"/>
      </rPr>
      <t xml:space="preserve">Currency of amount thresholds </t>
    </r>
    <r>
      <rPr>
        <sz val="9"/>
        <color theme="1"/>
        <rFont val="Calibri"/>
        <family val="2"/>
        <scheme val="minor"/>
      </rPr>
      <t xml:space="preserve">
For the two fraud payments that hit in the proposal, the amount column shows 131,685.61 and 173,049.43. The ROVA screen in the change document shows the same payments as £10,500 and £13,700, while the proposal's currency column says GBP. Several GBP thresholds in the control set are non-round (£457, £2,347, £9.48K, £12.6K). If thresholds are held or converted in another currency, their GBP value moves with exchange rates.
In which currency are amount thresholds held and tested (HighAmountDT, AmnttoNB, SumtoBene1Day, backstops)? If they are converted, which rate is used and how often is it updated? Is drift in the effective GBP threshold monitored? How was £9.48K derived?</t>
    </r>
  </si>
  <si>
    <r>
      <rPr>
        <b/>
        <sz val="9"/>
        <color theme="1"/>
        <rFont val="Calibri"/>
        <family val="2"/>
        <scheme val="minor"/>
      </rPr>
      <t xml:space="preserve">How the deviance control is calculated </t>
    </r>
    <r>
      <rPr>
        <sz val="9"/>
        <color theme="1"/>
        <rFont val="Calibri"/>
        <family val="2"/>
        <scheme val="minor"/>
      </rPr>
      <t xml:space="preserve">
The change document calls the deviance measure a Z score. Thresholds run from 10 to 40, and observed values reach 6,093,608. A standard Z score of 30–40 is extremely rare, so either the scale is different or the thresholds need explaining. The model documentation points to a Group control document that is not in the pack.
UKRM have assumed that column F holds the deviance on the same scale as the thresholds. Is this accurate?
How is AmtDevPymtMtd calculated: statistic, lookback, minimum history, per payment method or across methods, outlier treatment? Why are thresholds of 10–40 appropriate on that scale?</t>
    </r>
  </si>
  <si>
    <r>
      <rPr>
        <b/>
        <sz val="9"/>
        <color theme="1"/>
        <rFont val="Calibri"/>
        <family val="2"/>
        <scheme val="minor"/>
      </rPr>
      <t xml:space="preserve">Controls that cannot be computed </t>
    </r>
    <r>
      <rPr>
        <sz val="9"/>
        <color theme="1"/>
        <rFont val="Calibri"/>
        <family val="2"/>
        <scheme val="minor"/>
      </rPr>
      <t xml:space="preserve">
Many alerted payments of £10K or more have no deviance value ("Input data missing"). . One of the five frauds in the analysis is among them. The model documentation says ROVA only checks data formats. Eight scenarios in the 12 June control set use this deviance control, so the handling of missing values matters beyond the sample.
Can UKXDplease confirm that pts = 0 means the control adds nothing to the scenario?
What does ROVA do when a control cannot be computed: score zero, block the scenario, or apply a default? Which scenario is designed to catch a high-value payment from a customer with no history on that payment method? Do you have the not-performed rate by control and month for the last six months?</t>
    </r>
  </si>
  <si>
    <r>
      <rPr>
        <b/>
        <sz val="9"/>
        <color rgb="FF000000"/>
        <rFont val="Calibri"/>
        <family val="2"/>
        <scheme val="minor"/>
      </rPr>
      <t xml:space="preserve">Hour of Day meaning and time zone </t>
    </r>
    <r>
      <rPr>
        <sz val="9"/>
        <color rgb="FF000000"/>
        <rFont val="Calibri"/>
        <family val="2"/>
        <scheme val="minor"/>
      </rPr>
      <t xml:space="preserve">
The validation report explains "&lt;24" as "before 11pm" and "&lt;9" as "before 8am", which reads as off by one hour. The change document gives the phased test window as both 9–12am and 10–12am. No document states which clock ROVA uses. ROVA is run by Group and the change went live during British Summer Time. Seven scenarios outside the sample also depend on Hour of Day.
UKRM has read the two fails as meaning production HAmntDev excludes the "&lt;13" band and the Test version runs only in it. UKRM has assumed ROVA may not use UK local time which is not confirmed.
Please define the Hour of Day instances exactly: does "&lt;13" cover 12:00–12:59 or everything before 12:00? Which clock does ROVA use (UTC, CET or UK local), and how is the BST change handled? In which UK clock hours did HAmntDev (Test) actually run?</t>
    </r>
  </si>
  <si>
    <r>
      <rPr>
        <b/>
        <sz val="9"/>
        <color theme="1"/>
        <rFont val="Calibri"/>
        <family val="2"/>
        <scheme val="minor"/>
      </rPr>
      <t>Controlset Validation – NIFA07-2026-06-12-14.30, pages 24–26</t>
    </r>
    <r>
      <rPr>
        <sz val="9"/>
        <color theme="1"/>
        <rFont val="Calibri"/>
        <family val="2"/>
        <scheme val="minor"/>
      </rPr>
      <t xml:space="preserve">, "Fails" table: justification text for EXPA P UVOL OOH, FM01 K ABNM P 5–8, RSK RED P CVAL OOH and RSK RED P CVOL OOH ("&lt;24 = before 11pm but not before 10pm or &lt;9 = before 8am"). Page 24: ABNM RSK P HAmntDev, Hour of Day &lt;9, missing_values [13.0]. Page 25: ABNM RSK P HAmntDev (Test), Hour of Day &lt;13, missing_values [9.0, 10.0].
</t>
    </r>
    <r>
      <rPr>
        <b/>
        <sz val="9"/>
        <color theme="1"/>
        <rFont val="Calibri"/>
        <family val="2"/>
        <scheme val="minor"/>
      </rPr>
      <t>2026-06-12 Controlset Change Document, page 3</t>
    </r>
    <r>
      <rPr>
        <sz val="9"/>
        <color theme="1"/>
        <rFont val="Calibri"/>
        <family val="2"/>
        <scheme val="minor"/>
      </rPr>
      <t>, "Change Impact Summary" table: "active only between 9-12am"; page 5, "Simulation Results", paragraph 1: "change active only between 10-12am".</t>
    </r>
  </si>
  <si>
    <r>
      <rPr>
        <b/>
        <sz val="9"/>
        <color rgb="FF000000"/>
        <rFont val="Calibri"/>
        <family val="2"/>
        <scheme val="minor"/>
      </rPr>
      <t>Control set validation script check</t>
    </r>
    <r>
      <rPr>
        <sz val="9"/>
        <color rgb="FF000000"/>
        <rFont val="Calibri"/>
        <family val="2"/>
        <scheme val="minor"/>
      </rPr>
      <t xml:space="preserve">
The model documentation presents the validation script as the check on "the control set and values used". The validation report itself says it only assesses instances with &lt; or &gt; that are used in a scenario, and reports gaps in instance ladders. Eight fails were "accepted" with written reasons but no named approver, and the Results CSV the report mentions is not in the pack.
Apart from the ladder-gap check, what confirms that the values, scores, active hours and payment-method filters deployed match the approved change? Who accepts validation fails, and where is that recorded? Please share the Results CSV for this control set and confirm the script is run for every change.</t>
    </r>
  </si>
  <si>
    <r>
      <rPr>
        <b/>
        <sz val="9"/>
        <color theme="1"/>
        <rFont val="Calibri"/>
        <family val="2"/>
        <scheme val="minor"/>
      </rPr>
      <t xml:space="preserve">Controlset Validation – NIFA07-2026-06-12-14.30, page 6, </t>
    </r>
    <r>
      <rPr>
        <sz val="9"/>
        <color theme="1"/>
        <rFont val="Calibri"/>
        <family val="2"/>
        <scheme val="minor"/>
      </rPr>
      <t xml:space="preserve">"Validation Outcome" note; page 7, "Validation Results – Accepted Pass. Check the output, Results CSV has been saved"; pages 8–24, results with column "missing_values"; pages 24–26, "Fails are noted but intended so taken as accepted pass".
</t>
    </r>
    <r>
      <rPr>
        <b/>
        <sz val="9"/>
        <color theme="1"/>
        <rFont val="Calibri"/>
        <family val="2"/>
        <scheme val="minor"/>
      </rPr>
      <t>Controlset Change Document – NIFA07-2026-06-12-14.30, page 3</t>
    </r>
    <r>
      <rPr>
        <sz val="9"/>
        <color theme="1"/>
        <rFont val="Calibri"/>
        <family val="2"/>
        <scheme val="minor"/>
      </rPr>
      <t>, "Signoffs and Implementation": "Control Validation Report Results – Accepted Pass".</t>
    </r>
  </si>
  <si>
    <r>
      <t xml:space="preserve">Secondary and AI controls, and model dependencies 
</t>
    </r>
    <r>
      <rPr>
        <sz val="9"/>
        <color theme="1"/>
        <rFont val="Calibri"/>
        <family val="2"/>
        <scheme val="minor"/>
      </rPr>
      <t xml:space="preserve">The Group control list includes an "AI Model Assessment" control and other "type secondary" controls. 
Are any secondary controls, including AI Model Assessment, used in the UK control set now, or planned? If so, please provide Group documentation and validation for them. </t>
    </r>
  </si>
  <si>
    <t>Model Document</t>
  </si>
  <si>
    <r>
      <t xml:space="preserve">Calibration evidence 
</t>
    </r>
    <r>
      <rPr>
        <sz val="9"/>
        <color theme="1"/>
        <rFont val="Calibri"/>
        <family val="2"/>
        <scheme val="minor"/>
      </rPr>
      <t xml:space="preserve">The change moved the deviance threshold from &gt;30 to &gt;40. Its main evidence is a table showing 1,695 genuine and 5 fraud payments in the &gt;40 bucket. In the raw data behind that table, only 801 of the 1,700 rows have pts = 1 (797 genuine, 4 fraud). The other 899 have pts = 0: 487 have no deviance value and 406 have deviance of 10 or less. Correcting this changes the &gt;40 share of genuine payments from 74% to 58%.
Was the pts column meant to be filtered? Is this pivot built from a standard template used for other scenario changes? </t>
    </r>
  </si>
  <si>
    <r>
      <rPr>
        <b/>
        <sz val="9"/>
        <color theme="1"/>
        <rFont val="Calibri"/>
        <family val="2"/>
        <scheme val="minor"/>
      </rPr>
      <t>Controlset Change Document – NIFA07-2026-06-12-14.30, page 2</t>
    </r>
    <r>
      <rPr>
        <sz val="9"/>
        <color theme="1"/>
        <rFont val="Calibri"/>
        <family val="2"/>
        <scheme val="minor"/>
      </rPr>
      <t xml:space="preserve">, reasoning point 1 and the table under it ("AmtDevPymtMtd &gt;40 – 1695 – 5").
</t>
    </r>
    <r>
      <rPr>
        <b/>
        <sz val="9"/>
        <color theme="1"/>
        <rFont val="Calibri"/>
        <family val="2"/>
        <scheme val="minor"/>
      </rPr>
      <t>Control set change data workbook (NIFA07-2026-06-12-14.30_Data.xlsx), sheet "Pivots"</t>
    </r>
    <r>
      <rPr>
        <sz val="9"/>
        <color theme="1"/>
        <rFont val="Calibri"/>
        <family val="2"/>
        <scheme val="minor"/>
      </rPr>
      <t>, range A3:D10 (pivot filtered to Value_band ≥ d.10K–25K).</t>
    </r>
  </si>
  <si>
    <r>
      <t xml:space="preserve">Metric definitions and reconciliation 
</t>
    </r>
    <r>
      <rPr>
        <sz val="9"/>
        <color theme="1"/>
        <rFont val="Calibri"/>
        <family val="2"/>
        <scheme val="minor"/>
      </rPr>
      <t>Two different "false positive" measures are in use. The MI's FPR divides false positives by all genuine payments and reads 0.6–0.9%. The change document's FP ratio divides by alerts and reads 99–100%. The model documentation calls the first one FPR and links it to customer friction. March and April figures in the MI do not reconcile.</t>
    </r>
    <r>
      <rPr>
        <b/>
        <sz val="9"/>
        <color theme="1"/>
        <rFont val="Calibri"/>
        <family val="2"/>
        <scheme val="minor"/>
      </rPr>
      <t xml:space="preserve">
Please give formal definitions of TPR, FPR, FP ratio, TP, "Fraud detected" and "Detected (below min amount)": the counting unit (payment, case or customer), the value basis, and how STOP outcomes are treated. Why do the March and April figures not reconcile?</t>
    </r>
  </si>
  <si>
    <r>
      <rPr>
        <b/>
        <sz val="9"/>
        <color theme="1"/>
        <rFont val="Calibri"/>
        <family val="2"/>
        <scheme val="minor"/>
      </rPr>
      <t>How a payment reaches HOLD or STOP</t>
    </r>
    <r>
      <rPr>
        <sz val="9"/>
        <color theme="1"/>
        <rFont val="Calibri"/>
        <family val="2"/>
        <scheme val="minor"/>
      </rPr>
      <t xml:space="preserve">
Model Document says each scenario carries a score and the payment's total score decides OK/HOLD/STOP, with no HOLD below a minimum amount. No score, cut-off or rule expression appears in any document. 
Can UKXD please explain end to end how a payment reaches HOLD or STOP? How do points accumulate inside a scenario: are ladder instances cumulative, so deviance 45 scores for &gt;30, &gt;35 and &gt;40? What do Scenario_threshold and Scenario_controls_hit mean?  How is "Detected (below min amount)" counted?</t>
    </r>
  </si>
  <si>
    <r>
      <rPr>
        <b/>
        <sz val="9"/>
        <color theme="1"/>
        <rFont val="Calibri"/>
        <family val="2"/>
        <scheme val="minor"/>
      </rPr>
      <t>Data period and control sets used</t>
    </r>
    <r>
      <rPr>
        <sz val="9"/>
        <color theme="1"/>
        <rFont val="Calibri"/>
        <family val="2"/>
        <scheme val="minor"/>
      </rPr>
      <t xml:space="preserve">
The change document says its analysis uses data from the last control set, 8 May to 9 June 2026. The control set matters because each version of the scenarios alerts on different payments, and ROVA only keeps alerted payments.
UKRM notes the following:
•The data actually runs from 24 March to 10 June 2026. Only 1,536 of 3,147 rows fall in the stated period.
•Every new control set gives its instances new ID numbers (CNTLINSTID). Grouping the rows by ID shows the data spans ten control set versions.
•The version the change document names is IDs 12307690–12307694, live from 8 May to 10 June. In that version there are 1,163 genuine payments of £10,000 or more and no frauds.
•All five frauds the change relies on come from earlier versions, dated 9 April to 1 May. That is before HAmntDev's first alert on 8 May.
•Three of the five frauds were made within 29 minutes on 22 April, two with identical deviance values (315). This looks like one customer making repeated payments, so the five frauds are probably about three independent events.
•The proposal names one case that inspired the scenario and four "N/A".
Taken together, the comes from limits were set on very little evidence, and that evidence a period and set-up different from the one stated.
Can UKXD please clarify the following:
1. Which data period was intended, and why does the data differ?
2. Within the stated control set there is no fraud of £10,000 or more. What fraud evidence supports the &gt;40 and &lt;8-day limits?
3. Why were control sets mixed?
4.Are the three 22 April frauds (41319203367, 41319254311, 41319265654) one customer or one case?
</t>
    </r>
  </si>
  <si>
    <r>
      <t xml:space="preserve">"Note : This data is from the last controlset (Dates 08/05/2026 -&gt; 09/06/2026)"
: Change document, page 2, "Note"
</t>
    </r>
    <r>
      <rPr>
        <i/>
        <sz val="8"/>
        <color theme="1"/>
        <rFont val="Calibri"/>
        <family val="2"/>
        <scheme val="minor"/>
      </rPr>
      <t>"X:\London\Resources\N-Z\UKOXD-UKRM Shared\ROVA\NIFA07-2026-06-12-14.30 HAMT Dev Change\2026-06-12 Controlset Change Document.docx"</t>
    </r>
    <r>
      <rPr>
        <sz val="8"/>
        <color theme="1"/>
        <rFont val="Calibri"/>
        <family val="2"/>
        <scheme val="minor"/>
      </rPr>
      <t xml:space="preserve">
</t>
    </r>
    <r>
      <rPr>
        <sz val="9"/>
        <color theme="1"/>
        <rFont val="Calibri"/>
        <family val="2"/>
        <scheme val="minor"/>
      </rPr>
      <t xml:space="preserve">
"This scenario was inspired by the below cases across Priv customers." Cases: "FRD0002559", "N/A", "N/A", "N/A", "N/A"
: Proposal, page 2, "Evidence of Fraud" (same in Proposal JSON, fields "evid_desc" and "cases")
</t>
    </r>
    <r>
      <rPr>
        <i/>
        <sz val="8"/>
        <color theme="1"/>
        <rFont val="Calibri"/>
        <family val="2"/>
        <scheme val="minor"/>
      </rPr>
      <t>"X:\London\Resources\N-Z\UKOXD-UKRM Shared\ROVA\NIFA07-2026-06-12-14.30 HAMT Dev Change\ABNM RSK P HAmntDev_Proposal_2026-06-12.pdf"</t>
    </r>
    <r>
      <rPr>
        <sz val="9"/>
        <color theme="1"/>
        <rFont val="Calibri"/>
        <family val="2"/>
        <scheme val="minor"/>
      </rPr>
      <t xml:space="preserve">
Data workbook, sheet "Raw AmntDev Hits" (columns A, F, H, I, J)
</t>
    </r>
    <r>
      <rPr>
        <i/>
        <sz val="8"/>
        <color theme="1"/>
        <rFont val="Calibri"/>
        <family val="2"/>
        <scheme val="minor"/>
      </rPr>
      <t>"X:\London\Resources\N-Z\UKOXD-UKRM Shared\ROVA\NIFA07-2026-06-12-14.30 HAMT Dev Change\NIFA07-2026-06-12-14.30 Data.xlsx"</t>
    </r>
  </si>
  <si>
    <r>
      <t xml:space="preserve">Simulation
</t>
    </r>
    <r>
      <rPr>
        <sz val="9"/>
        <color theme="1"/>
        <rFont val="Calibri"/>
        <family val="2"/>
        <scheme val="minor"/>
      </rPr>
      <t>The 18 fraud payments in the proposal were run only through the new set. Two were caught, and both show STOP because the beneficiary was added to the STOP list after the fraud happened. (Assuming that the STOP-list entries were made after the frauds, as the change document states. - Is it true?) 
That is information ROVA did not have when the payments were made. Six frauds on Priv Faster Payments from 17 April to 7 May met 6 of the 7 conditions and were missed. Eight further rows have no date, amount or payment type. The change document states there is no change in fraud detection.</t>
    </r>
    <r>
      <rPr>
        <b/>
        <sz val="9"/>
        <color theme="1"/>
        <rFont val="Calibri"/>
        <family val="2"/>
        <scheme val="minor"/>
      </rPr>
      <t xml:space="preserve">
</t>
    </r>
    <r>
      <rPr>
        <sz val="9"/>
        <color theme="1"/>
        <rFont val="Calibri"/>
        <family val="2"/>
        <scheme val="minor"/>
      </rPr>
      <t>Can UKXD please clarify the following:</t>
    </r>
    <r>
      <rPr>
        <b/>
        <sz val="9"/>
        <color theme="1"/>
        <rFont val="Calibri"/>
        <family val="2"/>
        <scheme val="minor"/>
      </rPr>
      <t xml:space="preserve">
</t>
    </r>
    <r>
      <rPr>
        <sz val="9"/>
        <color theme="1"/>
        <rFont val="Calibri"/>
        <family val="2"/>
        <scheme val="minor"/>
      </rPr>
      <t>1. For each of the six misses, which condition was not met, and is that intended?
2. Why do eight rows have no payment data?</t>
    </r>
  </si>
  <si>
    <r>
      <t xml:space="preserve">Proposal document, page 5:
</t>
    </r>
    <r>
      <rPr>
        <i/>
        <sz val="8"/>
        <color theme="1"/>
        <rFont val="Calibri"/>
        <family val="2"/>
        <scheme val="minor"/>
      </rPr>
      <t>"X:\London\Resources\N-Z\UKOXD-UKRM Shared\ROVA\NIFA07-2026-06-12-14.30 HAMT Dev Change\ABNM RSK P HAmntDev_Proposal_2026-06-12.pdf"</t>
    </r>
  </si>
  <si>
    <r>
      <t xml:space="preserve">Notification and testing of Group releases 
</t>
    </r>
    <r>
      <rPr>
        <sz val="9"/>
        <color theme="1"/>
        <rFont val="Calibri"/>
        <family val="2"/>
        <scheme val="minor"/>
      </rPr>
      <t>Group owns ROVA's processing logic and the platform is shared with Sweden and Finland. A Group change to how a control is calculated could change UK results with no UK change record.
No document describes how Group releases are notified to the UK, assessed for UK impact, or tested before deployment.
Can UKXD please clarify the following:
1. How are Group releases that affect control logic or the simulator notified to UKXD?
2. How is their UK impact assessed and tested before deployment?
3. Is there a list of Group releases since UK go-live?</t>
    </r>
  </si>
  <si>
    <r>
      <t xml:space="preserve">Process map, slide 2
</t>
    </r>
    <r>
      <rPr>
        <i/>
        <sz val="8"/>
        <color theme="1"/>
        <rFont val="Calibri"/>
        <family val="2"/>
        <scheme val="minor"/>
      </rPr>
      <t>"X:\London\Resources\N-Z\UKOXD-UKRM Shared\ROVA\New UK ROVA UKXD high level process flow v0.4 PPT format.pptx"</t>
    </r>
    <r>
      <rPr>
        <sz val="9"/>
        <color theme="1"/>
        <rFont val="Calibri"/>
        <family val="2"/>
        <scheme val="minor"/>
      </rPr>
      <t xml:space="preserve">
Model Document</t>
    </r>
  </si>
  <si>
    <r>
      <t xml:space="preserve">Change Document, Page 2, Change Impact Summary
</t>
    </r>
    <r>
      <rPr>
        <i/>
        <sz val="8"/>
        <color theme="1"/>
        <rFont val="Calibri"/>
        <family val="2"/>
        <scheme val="minor"/>
      </rPr>
      <t xml:space="preserve">"X:\London\Resources\N-Z\UKOXD-UKRM Shared\ROVA\NIFA07-2026-06-12-14.30 HAMT Dev Change\2026-06-12 Controlset Change Document.docx"
</t>
    </r>
    <r>
      <rPr>
        <sz val="9"/>
        <color theme="1"/>
        <rFont val="Calibri"/>
        <family val="2"/>
        <scheme val="minor"/>
      </rPr>
      <t xml:space="preserve">
Metrics workbook, "Rule Pivot", row 5,6, 69 
</t>
    </r>
    <r>
      <rPr>
        <i/>
        <sz val="8"/>
        <color theme="1"/>
        <rFont val="Calibri"/>
        <family val="2"/>
        <scheme val="minor"/>
      </rPr>
      <t>"X:\London\Resources\N-Z\UKOXD-UKRM Shared\ROVA\Monitoring Data\ROVA Bi Weekly Metrics.xlsx"</t>
    </r>
  </si>
  <si>
    <r>
      <rPr>
        <b/>
        <sz val="9"/>
        <color theme="1"/>
        <rFont val="Calibri"/>
        <family val="2"/>
        <scheme val="minor"/>
      </rPr>
      <t xml:space="preserve">No clear reduction in alerts after the HAmntDev change
</t>
    </r>
    <r>
      <rPr>
        <sz val="9"/>
        <color theme="1"/>
        <rFont val="Calibri"/>
        <family val="2"/>
        <scheme val="minor"/>
      </rPr>
      <t>The change was initiated on 16 June and forecast 1-5 fewer holds a day (about 30–150 a month), depending on the version. HAmntDev's false positives did not fall in the three months after the change: 285 in June, 292 in July and 282 in August, against 268 in May. They fell to 237 in September. That is about one a day fewer than May, the bottom of the forecast range, and three months late. UKRM also observed from the ROVA Bi Weekly metric excel that the test version ran for 2 months and then an OOH version appears. The test version raised False Positives in June(30) and July(36) and then stops. The OOH version first appears in July and continues in Auguts and Sept. 
Can UKXD please clarify the following:
1. Why did false positives not fall in June-August, as forecast?
2. What explains the fall in September: the June change, a later change, lower payment volumes, or something else?
3. Did the OOH version take over alerts previously raised by HAmntDev? Did the Test version raise live holds alongside production?
4. Was a review carried out after the five-day test? What did it conclude, and who approved moving on?</t>
    </r>
  </si>
  <si>
    <t xml:space="preserve">Change Document, Page 2, Change Impact Summary
"X:\London\Resources\N-Z\UKOXD-UKRM Shared\ROVA\NIFA07-2026-06-12-14.30 HAMT Dev Change\2026-06-12 Controlset Change Document.docx"
</t>
  </si>
  <si>
    <r>
      <t xml:space="preserve">Metric definitions do not match
</t>
    </r>
    <r>
      <rPr>
        <sz val="9"/>
        <color theme="1"/>
        <rFont val="Calibri"/>
        <family val="2"/>
        <scheme val="minor"/>
      </rPr>
      <t>Two different "false positive" measures are in use:
a) The monitoring workbook's FPR divides false alerts by all genuine payments. It reads 0.6–0.9%, which looks low because almost all payments are genuine.
b) The change document's FP ratio divides false alerts by all alerts. It reads 99–100%: nearly every alert is a genuine payment.
Can UKXD please give formal definitions of TPR, FPR, FP ratio, TP, "Fraud detected" and "Detected (below min amount)". State the counting unit (payment, case or customer), the value basis, and how STOP outcomes and below-minimum detections are treated.</t>
    </r>
  </si>
  <si>
    <t>Model Doument</t>
  </si>
  <si>
    <r>
      <t xml:space="preserve">Fraud reporting delay 
</t>
    </r>
    <r>
      <rPr>
        <sz val="9"/>
        <color theme="1"/>
        <rFont val="Calibri"/>
        <family val="2"/>
        <scheme val="minor"/>
      </rPr>
      <t>Many frauds are reported days or weeks after the payment. Until then they look genuine. A month's detection rate can therefore look better at first than it will once all frauds are reported.</t>
    </r>
    <r>
      <rPr>
        <b/>
        <sz val="9"/>
        <color theme="1"/>
        <rFont val="Calibri"/>
        <family val="2"/>
        <scheme val="minor"/>
      </rPr>
      <t xml:space="preserve">
</t>
    </r>
    <r>
      <rPr>
        <sz val="9"/>
        <color theme="1"/>
        <rFont val="Calibri"/>
        <family val="2"/>
        <scheme val="minor"/>
      </rPr>
      <t>Can UKXD please clarify the following:
1. What is the typical delay from payment to fraud tag (distribution by month)?
2. When is a month's detection rate treated as final?</t>
    </r>
  </si>
  <si>
    <r>
      <t xml:space="preserve">Metrics workbook, sheet "Metric Data", rows 13 (stopped), 15 (held-released) and 23 (TP).
</t>
    </r>
    <r>
      <rPr>
        <i/>
        <sz val="8"/>
        <color theme="1"/>
        <rFont val="Calibri"/>
        <family val="2"/>
        <scheme val="minor"/>
      </rPr>
      <t>"X:\London\Resources\N-Z\UKOXD-UKRM Shared\ROVA\Monitoring Data\ROVA Bi Weekly Metrics.xlsx"</t>
    </r>
  </si>
  <si>
    <r>
      <t xml:space="preserve">The fall in fraud volumes since May
</t>
    </r>
    <r>
      <rPr>
        <sz val="9"/>
        <color theme="1"/>
        <rFont val="Calibri"/>
        <family val="2"/>
        <scheme val="minor"/>
      </rPr>
      <t>A sudden change in the number of frauds can be a real change in fraud, or a change in how frauds are recorded.
Frauds per month (caught plus missed) were 158 in March and 197 in April, then 30, 82, 24, 16 and 17 from May to September. Over the same period, the share of alerts that were fraud (preision) fell from 5.8–7.4% to 0.3–2.3%.</t>
    </r>
    <r>
      <rPr>
        <b/>
        <sz val="9"/>
        <color theme="1"/>
        <rFont val="Calibri"/>
        <family val="2"/>
        <scheme val="minor"/>
      </rPr>
      <t xml:space="preserve">
</t>
    </r>
    <r>
      <rPr>
        <sz val="9"/>
        <color theme="1"/>
        <rFont val="Calibri"/>
        <family val="2"/>
        <scheme val="minor"/>
      </rPr>
      <t xml:space="preserve">Calulated preision as TP_Vol/(Stopped by ROVA - Vol + Held - Released by ROVA - Vol)
 Is the fall in fraud volumes real, or due to a change in reporting, labelling, payment types covered, or how frauds are counted?
</t>
    </r>
    <r>
      <rPr>
        <b/>
        <sz val="9"/>
        <color theme="1"/>
        <rFont val="Calibri"/>
        <family val="2"/>
        <scheme val="minor"/>
      </rPr>
      <t xml:space="preserve">
</t>
    </r>
  </si>
  <si>
    <t>Based on final cummlative score of payment, &gt;100 points =hold, &gt;900 for stop. Control give points towards a scenario threshold, some control instances give 1 point each in a control, some controls only give 1 as whole if any instances is met.
Ladder instance are cummaltive but it always triggers the highest threshold that exists s, i.e deviance of 45 would hit &gt;30,35 and 40 but only &gt;40 would be visible when reviewing a alert. If &gt;40 did not exist then it would show &gt;35.
Scenario threshold is the criteria for scenario to be considered triggered.
Scenario controls hit is a indicative result shwoing how many of the controls in the scenaro were triggered. 
Detected below min amount is based on the C - Status of a payment (C51 in this case)</t>
  </si>
  <si>
    <t xml:space="preserve">Devaince is calculated by the following, we have no control ove this calc only the thresholds.
Yes the UKRM assumption is correct.
The score can only be set between 0 and 40, these thresholds were therefore chose to represent initial thresholds that could be assessed. Once live we could then see how activity related to these threshold to allow for futue tuning. - UKXD are in project phase still with numerous areas we want to explore but priortisation and resource has limited how quickly this can be done.
</t>
  </si>
  <si>
    <t>Currency of ROVA is in SEK, intial threshold setting used basic current SEK to GBP rate conversions. To avoid the use of round figures after conversion a round SEK figure was used which leave some unpredicabilty in terms of where values are set. Same for if we see slight variaition in currency rates, we see this as a positive as this nature varaiton of a value leaves it harder to predict by fraudsters.
UKXD have a back log JIRA issues to define a ROVA currency converison/threshold setting process - UKFCDA - 5691 . The intention is to use the banks defined conversation rations as published in a blue message on the 1st(working day?) of each month</t>
  </si>
  <si>
    <t>Today no secondary type controls are used, a uk model is going live in ROVA soon but we do not plan to start immediate usage due to wider AI working group oroject sign off required. I can share HOXR provide model documentation.</t>
  </si>
  <si>
    <t>Named approver/acceptor of the validation is as per the change document. This is covered under the UKXD Thresholds Verified signoff. The csv is present in the change validation folder, I just missed copying it across. This code is being updated so all change files go to one chaneg location.
The signoff of the controlset is done via a UKXD review whereby a second user gets walked through the scenarios. This is taken as signoff for that UKXD review, a UKXD reviwer also accepts the control validation report as true after review. This was added post a chnage where the hour of day control/ladder operations were sent incorrectly for a brief period, it is ment to act as a extra automated safeguard for changes.
Finally pre implementation via the front end a user can check a controlset is accurate/as expected before going live. The user who makes the controlset cannot be the one to set it live in ROVA due to role segregation. 
Yes this is run for every change as it makes up part of our change governnce process</t>
  </si>
  <si>
    <t xml:space="preserve">This is a error in my code, we filter for where control performed but you are correct to say PTS should have been filtered to 1 also. This was corrected as part of us moving to standardised code/base views for consistency but its likely this error occurs in a few changes.
The pivot is not standard, standardisation of change doucmentation/evidence is planned for q1 2027 as part of actions to get the ROVA project to a state for closure. </t>
  </si>
  <si>
    <t>case when  cval in('C3','C4','C41','C2') then 'TP'
when  cval in('C6','C61','C7','C8') then 'FP' 
when  cval in('C5','C51') then 'TN' 
when  cval in('C1','C11') then 'FN' 
end as ResultType,
case when c.cval ='C5' then 'Genuine (No interruption)'
when c.cval ='C51' then 'Genuine (Suspicious but below min amount)' 
when c.cval ='C7' then 'Genuine (Held - Released)' 
when c.cval ='C8' then 'Genuine (Held - Stopped)' 
when c.cval ='C6' then 'Genuine (Stopped)'
when c.cval ='C61' then 'Genuine (assessed suspicious by machine, cannot be Held therefore Stopped)'
when c.cval ='C3' then 'Fraud (Held - Stopped)' 
when c.cval ='C4' then 'Fraud (Stopped)' 
when c.cval ='C41' then 'Fraud (assessed suspicious by machine, cannot be Held therefore Stopped)'
when c.cval ='C1' then 'Fraud (Genuine)'
when c.cval ='C11' then 'Fraud (Genuine - Suspicious but below min amount)' 
when c.cval ='C2' then 'Fraud (Held - Released)'
when c.cval is null then 'Null'
else c.cval end as Type</t>
  </si>
  <si>
    <t xml:space="preserve">1.Not sure on this one - cannot remember what I did here… But using multiple controlsets for this is not a issue as we are assessing results of the control within a controlset as opposed to the controlset itself. These are independant if the control has not been changed between controlsets which in this case it has not.
2. Of the frauds that hit the referenced controls all hits &gt;40 deviance score, we try to build scenarios to what we see as opposed to theoretical cases and hence to capture the known fraud seen that is the control that keeps all frauds in scope while allowing us to rule out some False positives. Our use of &gt;40 does means we don't think a fraud at &gt;30 or &gt;20 deviance could occur but at the time of testing we had not seen one, if we were to build rules for potential frauds we would end up needing to alert on all payments as a fraud can occur on any. 
As for number of days this is the same case albeit the &lt;8 threshold was set due to a relcuatnce of stakeholders to do &lt;3 option, in the case of changes UKXD can propose adjustments but stakeholder agreement is required to implement a change. As such while if the approach of &lt;3 would have followed that of using &gt;40 in this case the stakeholders felt &lt;8 was a more comfortable option despite the data not neccesarily supporting this.
3.Controlsets can and do change between frauds, to collect a large enough case sample given the rarity of fraud often payments are selected that cover multiple controlsets being live. This does not change the fact of a payment being fraud nor make the simualtions agaisnt it invalid. Via the simulations tool in ROVA we always compare the currently being tested controlset agaisnt the relevant controlset that was live at the time. So if payment A was under controlset 1 and payment B was under controlset 2, then testing of controlset 3 agaisnt payment A and B would show the difference between 1 and 3 and  2 and 3 for the respective payment. See image for proof.
Evidence is weak but not putting a rule in for  case tht occured even if it is one would mean knowlingly leaving not trying to prevent fraud. In this case/fraud in general  there is not set criteria for what the evidence threshold is, the availible sample is small in terms of fraud payments but where known fraud detection can be evidenced/maintianed and a reduction in FP's seen via simualtion then what more evidence is needed.
4. 2 disticnt customers but related based on same account takeover/compromise of details.
 </t>
  </si>
  <si>
    <r>
      <t xml:space="preserve">fraud_join as(
select distinct 
--a.*,b.*
-- View 1 - results per transaction per scenario 
TXNID,
cast(TXNID as varchar(12)) as Transaction_ID,
Scenario_name,
cast(Scenario_threshold as varchar(5)) as Scenario_threshold,
cast(Scenairo_controls_hit as varchar(5))as Scenairo_controls_hit,
cast(Scenario_PTS as varchar(5)) as Scenario_PTS,
FRAUDTP,
cast(convert(varchar,b.EFFTMSTP,110) as date) as PaymentDate,
b.AMT_BASE_CURR,
b.MNTRINSTRAMT,
b.ISOCURRCODE,
case when b.PYMTTP in('115') then 'Faster Payments'
when b.PYMTTP in('69') then 'CHAPS'
when b.PYMTTP in('98','86') then 'CrossBorder'
when b.PYMTTP in('102') then 'StandingOrder'
when b.PYMTTP in('49') then 'Transfer - Handelsbanken Acc'
when b.PYMTTP in('48') then 'Transfer - Own Acc'
when b.PYMTTP in('68') then 'BACS'
else b.PYMTTP end as PaymentType,
case when b.IPTP = 1 then 'Corp'
else 'Priv' end as CustomerType,
case when Scenairo_controls_hit&gt;=Scenario_threshold then 'Hit' else 'Miss' end as Result
from threshold_join as a
</t>
    </r>
    <r>
      <rPr>
        <b/>
        <sz val="9"/>
        <color theme="1"/>
        <rFont val="Calibri"/>
        <family val="2"/>
        <scheme val="minor"/>
      </rPr>
      <t>left join [DACO_STANDARDIZED].[daco_rova_uk].K28A1400 as b
on a.txnid=b.ID</t>
    </r>
  </si>
  <si>
    <t>1. There is a FCP teams channel where release/updates aswell as issues are communicated. Several of us UKXD and UKXB are part of this channel. In the past changes to controls or planned changes have been notified to us and we haven given our approval that we are happy. Some changes made by SE where we have on been informed have have had detrimentla impact to us and these had to be corrected. We do not formally sign off any documentation for a change.
2. We do not know, the only thing we are aware of is if they ask for our opinion/our feedback on a propsoed change. This has improved with more recent changes.
3.This listed in brief in the FCP teams channel but we do not have formal list.</t>
  </si>
  <si>
    <t>Duplicate of above</t>
  </si>
  <si>
    <t xml:space="preserve">ROVA is in CET time (we think). We do not know how ROVA handles BST changes - to be raised with group.
The discrepancy in the doc is a typo and highlights the confsuon these hour of day control bring with their setup. UKRM assumption is correct as the test version ran &lt;13 but not &lt;10 which means &lt;1pm but not less &lt;10 am. As such test scenairo was active 9-12 in uk time.
The hour of day control is a confusing one and we struggle with it today. We understand it as working within the hour of day control as OR's between those selected and AND's for those unselected. Such that &gt;13 being ticked and &lt;10 not being ticked means &gt;13 and not &gt;10. Like wise all being ticked except &gt;13 means all and not &lt;13. 
Yes, &lt;13 would mean 12-12:59 is covered if &lt;12 was not selected (if it existed).
After a recent change where this logic challeneged us again (in terms of tranlating what it means in real life) we/I have taken as action to update the validation report to state it in clearer plain english what the selection of this controls mean. JIRA UKFCDA - 7090
</t>
  </si>
  <si>
    <t>1. This has not been assessed but this level of post change anaylsis is planned as part of JIRA UKFCA 5915, a part of this is the aim to add is uncertainty to simulation results by assesing the difference between simulations and real outcomes following changes - keen to get MRM's guidance on this . Today we have to trust simulations as accurate but we know there are nuainces based on how the simulations logic works (can discuss in more detail) . Key wording the doc is "suggest" a reduction based on simulations, this is us stating our expectation based on what we have rather than a true outcome, we also typically apply a ranged value given we know actually alert volumes depend on factors which are independant to our change (payment volumes, customer activity etc). We know that monitoring these and taking them into account as part of the post change analysis process is key to give us increased confidence in what simulations are telling us.
Lastly simulations as part of the change actually suggest for the version implemented (phased - active only 9-12am) then this would bring a reduction of 1/2 per day rather than a full 1-5.
2. Like the above this would require investigation as part of a post change analysis process. No further changes were made to this scenario in Sept so the decrease I likely driven by factor we don't control (payment vols/customer activity).
3. OOH did take over and goes beyond what HAmntDev previosuly alerted on but only during OOH periods. Yes test did raise live holds, we have no test enivroment in ROVA. As such Test was only named as part of its provisional live implementation during the 9-12 period each day.
4. Yes, it was reviewed in a very high level manner during a Bi-weekly meeting after 2 weeks of running (longer than 5 days due to resource contraints while also doing on other work/changes). This was done via a comparison of alerts between 9-12 pre and post change with the average volume taken per day. This showed we had seen a reduction of 1 per day which aligned with our expectations (note we did not consider payment volumes across each test phase). The full implementation was then approved as part of that biweekly meeting.</t>
  </si>
  <si>
    <t>Duplication of prior</t>
  </si>
  <si>
    <t>1.Depends on what sample range you use, YTD fraud payments are reported to us on average within 5 days. Tagging is done as soon as a nilex case is raised by UKXB.
2. There is no set date for this, in the biweekly excel we track atleast the last 3 full months of data on each run. Cases can be reported to us at any time and so are always subject to change. From personal observation data becomes typically static after about a month.</t>
  </si>
  <si>
    <t xml:space="preserve">This is reflective of real data, frauds have dropped of significanltly in recent months. We typically see spikes end/start of years. The proportionality of rules/if changes should be made when fraud volumes are low is active area of debate and would welcome MRM support on this.
Reported data will change once CB fasters performance through ROVA is tracked following go live but frauds there are very low.
No wider change in reporting, labelling or coutning methodology has been applied.
Case data for all YTD frauds irrespective of method can be shared if needed.
</t>
  </si>
  <si>
    <r>
      <t xml:space="preserve">All done at payment level - the fraud stats report also tracks them at value and customer level (Performance tracking is beig centralised to PowerBi as discussed)
TPR  = True positive rate = TP/TP+FN 
FPR = False positive rate = FP/FP+TN 
At scenario level we do not get  FN as miss results are not saved. A equivalent </t>
    </r>
    <r>
      <rPr>
        <i/>
        <sz val="9"/>
        <color theme="1"/>
        <rFont val="Calibri"/>
        <family val="2"/>
        <scheme val="minor"/>
      </rPr>
      <t>could</t>
    </r>
    <r>
      <rPr>
        <sz val="9"/>
        <color theme="1"/>
        <rFont val="Calibri"/>
        <family val="2"/>
        <scheme val="minor"/>
      </rPr>
      <t xml:space="preserve"> be caculated by assuming/working out what payments were in scope for the rule and hence any potential FN's that missed but today this has not been done. As such we record TP/FP volumes and measure the ratio of FP to total P results (TP+FP) .
Fraud detected = cval in('C3','C4','C2','C41')
Detected below min amonut as c.cval ='C51' then 'Genuine (Suspicious but below min amount)' .
Stops still get tagged as either fraud or gen after talking to a customer so as per cval statuses we know what they were.
Would need to see which figures to assess this.</t>
    </r>
  </si>
  <si>
    <t xml:space="preserve">It depends on the control, most controls simply arent calculated if a the data is not availiable. Default values are also used for some controls, ie if ip has never been seen before then days =999. 
The backstops are designed for those cases, they apply value thresholds at which if a payment is higher and to a new and unknown beneficiary we will always alert. There are several of these and they apply in different circumstances (payment type, customer type, time of day) 
No, we do not track that metric today. </t>
  </si>
  <si>
    <t>1.For trnid= 41311695707 the condition not met was the channel, this payment was keyed by the branch/customer connect on behalf of the customer and we don’t apply this scenario to that channel as staff have relevant processes they should take when keying a payment for a customer including fraud questions. We also see that a significant number of customers still use the branch to make large or usnual payments given the nature of getting us (the bank) to do it offers them a layer of assurance. For the payments on the 27th and 28th, these were also keyed by customer connect and hence out of scope.  Also for thse and the others the beneficiary is now over 8 days old (12 days), this deviance rule doesn't cover beneficiaires this old as by this point we assume them to be more trusted and after 15 days they are green listed/classifed as known good by ROVA. To apply this rule up to 15 days on faster payments would generate increased friction which is something we wre trying to reduce as part of this change. These 6 misses make up a case in which we did alert (earlier than the misses on the 17th when 2 £5k payments were attempted in rapid succesion to the same bene),  customer contact was made and customer told us they were happy with the payment being released and that they had done their due diligence regarding these investments.
In both cases these criteria not being met is as intended, it is simple unfeasible and unrealistic to review all payments and as such we have to make decison as to where we focus are alerts, branch payments and payments to bene's now over week old are seen as lower risk based on historic known frauds.
2. Coding issue in sql/python, the code the create this doc looks for all samples searched for in the controlset but the payment details are joined from the fraud table (K28A1400) such that any sims which were genuine payments do not get these details joined on. This is why the top 6 rows which were all false postive htis (now showing as misses and hence a reduction in false postive) do not have any payment data. As of the latest version of the code (new version created in early oct'26) this has been corrected. Further work is planned on this code as I try to standardise our information sources. See example of incorrect code on next cell.</t>
  </si>
  <si>
    <r>
      <t xml:space="preserve">Change document, pages 3–4, "Signoffs and Implementation" (no MLRO row)
</t>
    </r>
    <r>
      <rPr>
        <i/>
        <sz val="8"/>
        <color theme="1"/>
        <rFont val="Calibri"/>
        <family val="2"/>
        <scheme val="minor"/>
      </rPr>
      <t>"X:\London\Resources\N-Z\UKOXD-UKRM Shared\ROVA\NIFA07-2026-06-12-14.30 HAMT Dev Change\2026-06-12 Controlset Change Document.docx"</t>
    </r>
  </si>
  <si>
    <r>
      <t xml:space="preserve">Approvals for a change that reduces alerting
</t>
    </r>
    <r>
      <rPr>
        <sz val="9"/>
        <color rgb="FF000000"/>
        <rFont val="Calibri"/>
        <family val="2"/>
        <scheme val="minor"/>
      </rPr>
      <t xml:space="preserve">
The model documentation requires CFCPO and MLRO sign-off for reductions, and its own August example shows an MLRO oversight row. The sampled June change is labelled an adjustment/optimisation and has CFCPO sign-off, but no MLRO row. One person carried out the UKXD review, verified the thresholds and accepted the control set.</t>
    </r>
    <r>
      <rPr>
        <b/>
        <sz val="9"/>
        <color rgb="FF000000"/>
        <rFont val="Calibri"/>
        <family val="2"/>
        <scheme val="minor"/>
      </rPr>
      <t xml:space="preserve">
</t>
    </r>
    <r>
      <rPr>
        <sz val="9"/>
        <color rgb="FF000000"/>
        <rFont val="Calibri"/>
        <family val="2"/>
        <scheme val="minor"/>
      </rPr>
      <t xml:space="preserve">
Can UKXD please confirm the following:
1. Why is there no MLRO oversight for this change?
2. Please set out the approvals required for each type of change (new, tightening, reduction, optimisation, decommission).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</si>
</sst>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1"/>
      <name val="Calibri"/>
      <family val="2"/>
      <scheme val="minor"/>
    </font>
    <font>
      <sz val="10"/>
      <color theme="1"/>
      <name val="Calibri"/>
      <family val="2"/>
      <scheme val="minor"/>
    </font>
    <font>
      <sz val="9"/>
      <color theme="1"/>
      <name val="Calibri"/>
      <family val="2"/>
      <scheme val="minor"/>
    </font>
    <font>
      <b/>
      <sz val="9"/>
      <color theme="1"/>
      <name val="Calibri"/>
      <family val="2"/>
      <scheme val="minor"/>
    </font>
    <font>
      <b/>
      <sz val="9"/>
      <color rgb="FF00B050"/>
      <name val="Calibri"/>
      <family val="2"/>
      <scheme val="minor"/>
    </font>
    <font>
      <sz val="9"/>
      <color rgb="FF000000"/>
      <name val="Calibri"/>
      <family val="2"/>
      <scheme val="minor"/>
    </font>
    <font>
      <sz val="10"/>
      <color rgb="FF000000"/>
      <name val="Calibri"/>
      <family val="2"/>
      <scheme val="minor"/>
    </font>
    <font>
      <b/>
      <sz val="9"/>
      <color theme="0"/>
      <name val="Calibri"/>
      <family val="2"/>
      <scheme val="minor"/>
    </font>
    <font>
      <i/>
      <sz val="8"/>
      <color theme="1"/>
      <name val="Calibri"/>
      <family val="2"/>
      <scheme val="minor"/>
    </font>
    <font>
      <b/>
      <sz val="9"/>
      <color rgb="FF000000"/>
      <name val="Calibri"/>
      <family val="2"/>
      <scheme val="minor"/>
    </font>
    <font>
      <sz val="8"/>
      <color theme="1"/>
      <name val="Calibri"/>
      <family val="2"/>
      <scheme val="minor"/>
    </font>
    <font>
      <i/>
      <sz val="9"/>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6"/>
        <bgColor indexed="64"/>
      </patternFill>
    </fill>
    <fill>
      <patternFill patternType="solid">
        <fgColor theme="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38">
    <xf numFmtId="0" fontId="0" fillId="0" borderId="0" xfId="0"/>
    <xf numFmtId="0" fontId="0" fillId="0" borderId="0" xfId="0" applyAlignment="1">
      <alignment horizontal="left" vertical="center"/>
    </xf>
    <xf numFmtId="0" fontId="1" fillId="2" borderId="1" xfId="0" applyFont="1" applyFill="1" applyBorder="1" applyAlignment="1">
      <alignment horizontal="left" vertical="center" wrapText="1"/>
    </xf>
    <xf numFmtId="0" fontId="3" fillId="3" borderId="1" xfId="0" applyFont="1" applyFill="1" applyBorder="1" applyAlignment="1">
      <alignment horizontal="center" vertical="center"/>
    </xf>
    <xf numFmtId="0" fontId="3" fillId="2" borderId="1" xfId="0" applyFont="1" applyFill="1" applyBorder="1" applyAlignment="1">
      <alignment horizontal="left" vertical="center" wrapText="1"/>
    </xf>
    <xf numFmtId="0" fontId="0" fillId="0" borderId="1" xfId="0" applyBorder="1" applyAlignment="1">
      <alignment horizontal="left" vertical="center"/>
    </xf>
    <xf numFmtId="0" fontId="6" fillId="2" borderId="1" xfId="0" applyFont="1" applyFill="1" applyBorder="1" applyAlignment="1">
      <alignment horizontal="left" vertical="center" wrapText="1"/>
    </xf>
    <xf numFmtId="0" fontId="0" fillId="0" borderId="3" xfId="0" applyBorder="1" applyAlignment="1">
      <alignment horizontal="left" vertical="center"/>
    </xf>
    <xf numFmtId="0" fontId="3" fillId="0" borderId="1" xfId="0" applyFont="1" applyBorder="1" applyAlignment="1">
      <alignment horizontal="left" vertical="center" wrapText="1"/>
    </xf>
    <xf numFmtId="0" fontId="0" fillId="0" borderId="0" xfId="0" applyAlignment="1">
      <alignment horizontal="center" vertical="center" wrapText="1"/>
    </xf>
    <xf numFmtId="0" fontId="8" fillId="5" borderId="1"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3" fillId="0" borderId="2" xfId="0" applyFont="1" applyBorder="1" applyAlignment="1">
      <alignment horizontal="left" vertical="top" wrapText="1"/>
    </xf>
    <xf numFmtId="0" fontId="2" fillId="2" borderId="2" xfId="0" applyFont="1" applyFill="1" applyBorder="1" applyAlignment="1">
      <alignment horizontal="left" vertical="top" wrapText="1"/>
    </xf>
    <xf numFmtId="0" fontId="3" fillId="3" borderId="2" xfId="0" applyFont="1" applyFill="1" applyBorder="1" applyAlignment="1">
      <alignment horizontal="center" vertical="center"/>
    </xf>
    <xf numFmtId="0" fontId="3" fillId="3" borderId="4" xfId="0" applyFont="1" applyFill="1" applyBorder="1" applyAlignment="1">
      <alignment horizontal="center" vertical="center" wrapText="1"/>
    </xf>
    <xf numFmtId="0" fontId="3" fillId="3" borderId="4" xfId="0" applyFont="1" applyFill="1" applyBorder="1" applyAlignment="1">
      <alignment horizontal="center" vertical="center"/>
    </xf>
    <xf numFmtId="0" fontId="0" fillId="3" borderId="4" xfId="0" applyFill="1" applyBorder="1" applyAlignment="1">
      <alignment horizontal="center" vertical="center"/>
    </xf>
    <xf numFmtId="0" fontId="3" fillId="3" borderId="5" xfId="0" applyFont="1" applyFill="1" applyBorder="1" applyAlignment="1">
      <alignment horizontal="center" vertical="center"/>
    </xf>
    <xf numFmtId="0" fontId="3" fillId="3" borderId="3" xfId="0" applyFont="1" applyFill="1" applyBorder="1" applyAlignment="1">
      <alignment horizontal="center" vertical="center"/>
    </xf>
    <xf numFmtId="0" fontId="0" fillId="3" borderId="6" xfId="0" applyFill="1" applyBorder="1" applyAlignment="1">
      <alignment horizontal="center" vertical="center"/>
    </xf>
    <xf numFmtId="0" fontId="1" fillId="2" borderId="3" xfId="0" applyFont="1" applyFill="1" applyBorder="1" applyAlignment="1">
      <alignment horizontal="left" vertical="center" wrapText="1"/>
    </xf>
    <xf numFmtId="0" fontId="2" fillId="2" borderId="5" xfId="0" applyFont="1" applyFill="1" applyBorder="1" applyAlignment="1">
      <alignment horizontal="left" vertical="top" wrapText="1"/>
    </xf>
    <xf numFmtId="0" fontId="0" fillId="0" borderId="0" xfId="0" applyAlignment="1">
      <alignment horizontal="center" vertical="center"/>
    </xf>
    <xf numFmtId="0" fontId="1" fillId="0" borderId="0" xfId="0" applyFont="1" applyAlignment="1">
      <alignment horizontal="left" vertical="center" wrapText="1"/>
    </xf>
    <xf numFmtId="0" fontId="2" fillId="0" borderId="0" xfId="0" applyFont="1" applyAlignment="1">
      <alignment horizontal="left" vertical="top" wrapText="1"/>
    </xf>
    <xf numFmtId="0" fontId="2" fillId="0" borderId="2" xfId="0" applyFont="1" applyBorder="1" applyAlignment="1">
      <alignment horizontal="left" vertical="top" wrapText="1"/>
    </xf>
    <xf numFmtId="0" fontId="7" fillId="0" borderId="2" xfId="0" applyFont="1" applyBorder="1" applyAlignment="1">
      <alignment horizontal="left" vertical="top" wrapText="1"/>
    </xf>
    <xf numFmtId="0" fontId="5" fillId="0" borderId="2" xfId="0" applyFont="1" applyBorder="1" applyAlignment="1">
      <alignment horizontal="left" vertical="center" wrapText="1"/>
    </xf>
    <xf numFmtId="0" fontId="4" fillId="0" borderId="2" xfId="0" applyFont="1" applyBorder="1" applyAlignment="1">
      <alignment horizontal="left" vertical="center" wrapText="1"/>
    </xf>
    <xf numFmtId="0" fontId="6" fillId="0" borderId="1" xfId="0" applyFont="1" applyBorder="1" applyAlignment="1">
      <alignment horizontal="left" vertical="center" wrapText="1"/>
    </xf>
    <xf numFmtId="0" fontId="3" fillId="0" borderId="1" xfId="0" quotePrefix="1" applyFont="1" applyBorder="1" applyAlignment="1">
      <alignment horizontal="left" vertical="center" wrapText="1"/>
    </xf>
    <xf numFmtId="14" fontId="3" fillId="3" borderId="2" xfId="0" applyNumberFormat="1" applyFont="1" applyFill="1" applyBorder="1" applyAlignment="1">
      <alignment horizontal="center" vertical="center"/>
    </xf>
    <xf numFmtId="0" fontId="4" fillId="2" borderId="1" xfId="0" applyFont="1" applyFill="1" applyBorder="1" applyAlignment="1">
      <alignment horizontal="left" vertical="center" wrapText="1"/>
    </xf>
    <xf numFmtId="0" fontId="4" fillId="0" borderId="1" xfId="0" applyFont="1" applyBorder="1" applyAlignment="1">
      <alignment horizontal="left" vertical="center" wrapText="1"/>
    </xf>
    <xf numFmtId="0" fontId="3" fillId="3" borderId="4" xfId="0" applyFont="1" applyFill="1" applyBorder="1" applyAlignment="1">
      <alignment horizontal="center" vertical="top" wrapText="1"/>
    </xf>
    <xf numFmtId="0" fontId="4" fillId="0" borderId="1" xfId="0" applyFont="1" applyBorder="1" applyAlignment="1">
      <alignment horizontal="left" vertical="top" wrapText="1"/>
    </xf>
    <xf numFmtId="0" fontId="10" fillId="0" borderId="1" xfId="0" applyFont="1" applyBorder="1" applyAlignment="1">
      <alignment horizontal="left" vertical="center" wrapText="1"/>
    </xf>
  </cellXfs>
  <cellStyles count="1">
    <cellStyle name="Normal" xfId="0" builtinId="0"/>
  </cellStyles>
  <dxfs count="3">
    <dxf>
      <fill>
        <patternFill>
          <bgColor theme="0" tint="-0.24994659260841701"/>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alcChain" Target="calcChain.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3</xdr:col>
      <xdr:colOff>47625</xdr:colOff>
      <xdr:row>10</xdr:row>
      <xdr:rowOff>1885950</xdr:rowOff>
    </xdr:from>
    <xdr:to>
      <xdr:col>3</xdr:col>
      <xdr:colOff>4362450</xdr:colOff>
      <xdr:row>10</xdr:row>
      <xdr:rowOff>2933846</xdr:rowOff>
    </xdr:to>
    <xdr:pic>
      <xdr:nvPicPr>
        <xdr:cNvPr id="3" name="Picture 2">
          <a:extLst>
            <a:ext uri="{FF2B5EF4-FFF2-40B4-BE49-F238E27FC236}">
              <a16:creationId xmlns:a16="http://schemas.microsoft.com/office/drawing/2014/main" id="{20571067-D897-C986-A112-869FD6E298FD}"/>
            </a:ext>
          </a:extLst>
        </xdr:cNvPr>
        <xdr:cNvPicPr>
          <a:picLocks noChangeAspect="1"/>
        </xdr:cNvPicPr>
      </xdr:nvPicPr>
      <xdr:blipFill>
        <a:blip xmlns:r="http://schemas.openxmlformats.org/officeDocument/2006/relationships" r:embed="rId1"/>
        <a:stretch>
          <a:fillRect/>
        </a:stretch>
      </xdr:blipFill>
      <xdr:spPr>
        <a:xfrm>
          <a:off x="1914525" y="15992475"/>
          <a:ext cx="4314825" cy="1047896"/>
        </a:xfrm>
        <a:prstGeom prst="rect">
          <a:avLst/>
        </a:prstGeom>
      </xdr:spPr>
    </xdr:pic>
    <xdr:clientData/>
  </xdr:twoCellAnchor>
  <xdr:twoCellAnchor editAs="oneCell">
    <xdr:from>
      <xdr:col>3</xdr:col>
      <xdr:colOff>85724</xdr:colOff>
      <xdr:row>11</xdr:row>
      <xdr:rowOff>571501</xdr:rowOff>
    </xdr:from>
    <xdr:to>
      <xdr:col>3</xdr:col>
      <xdr:colOff>4362449</xdr:colOff>
      <xdr:row>11</xdr:row>
      <xdr:rowOff>1790701</xdr:rowOff>
    </xdr:to>
    <xdr:pic>
      <xdr:nvPicPr>
        <xdr:cNvPr id="4" name="Picture 3">
          <a:extLst>
            <a:ext uri="{FF2B5EF4-FFF2-40B4-BE49-F238E27FC236}">
              <a16:creationId xmlns:a16="http://schemas.microsoft.com/office/drawing/2014/main" id="{C66127C0-A96E-03B3-71C2-5DAC1C6ECDA4}"/>
            </a:ext>
          </a:extLst>
        </xdr:cNvPr>
        <xdr:cNvPicPr>
          <a:picLocks noChangeAspect="1"/>
        </xdr:cNvPicPr>
      </xdr:nvPicPr>
      <xdr:blipFill>
        <a:blip xmlns:r="http://schemas.openxmlformats.org/officeDocument/2006/relationships" r:embed="rId2"/>
        <a:stretch>
          <a:fillRect/>
        </a:stretch>
      </xdr:blipFill>
      <xdr:spPr>
        <a:xfrm>
          <a:off x="1952624" y="18640426"/>
          <a:ext cx="4276725" cy="1219200"/>
        </a:xfrm>
        <a:prstGeom prst="rect">
          <a:avLst/>
        </a:prstGeom>
      </xdr:spPr>
    </xdr:pic>
    <xdr:clientData/>
  </xdr:twoCellAnchor>
  <xdr:twoCellAnchor editAs="oneCell">
    <xdr:from>
      <xdr:col>3</xdr:col>
      <xdr:colOff>190500</xdr:colOff>
      <xdr:row>14</xdr:row>
      <xdr:rowOff>1152526</xdr:rowOff>
    </xdr:from>
    <xdr:to>
      <xdr:col>3</xdr:col>
      <xdr:colOff>4400550</xdr:colOff>
      <xdr:row>14</xdr:row>
      <xdr:rowOff>1978026</xdr:rowOff>
    </xdr:to>
    <xdr:pic>
      <xdr:nvPicPr>
        <xdr:cNvPr id="2" name="Picture 1">
          <a:extLst>
            <a:ext uri="{FF2B5EF4-FFF2-40B4-BE49-F238E27FC236}">
              <a16:creationId xmlns:a16="http://schemas.microsoft.com/office/drawing/2014/main" id="{FA721FC3-036D-4482-8EFB-8FD3E6BA241C}"/>
            </a:ext>
          </a:extLst>
        </xdr:cNvPr>
        <xdr:cNvPicPr>
          <a:picLocks noChangeAspect="1"/>
        </xdr:cNvPicPr>
      </xdr:nvPicPr>
      <xdr:blipFill>
        <a:blip xmlns:r="http://schemas.openxmlformats.org/officeDocument/2006/relationships" r:embed="rId3"/>
        <a:stretch>
          <a:fillRect/>
        </a:stretch>
      </xdr:blipFill>
      <xdr:spPr>
        <a:xfrm>
          <a:off x="2933700" y="24098251"/>
          <a:ext cx="4210050" cy="1066800"/>
        </a:xfrm>
        <a:prstGeom prst="rect">
          <a:avLst/>
        </a:prstGeom>
      </xdr:spPr>
    </xdr:pic>
    <xdr:clientData/>
  </xdr:twoCellAnchor>
  <xdr:twoCellAnchor editAs="oneCell">
    <xdr:from>
      <xdr:col>3</xdr:col>
      <xdr:colOff>400050</xdr:colOff>
      <xdr:row>17</xdr:row>
      <xdr:rowOff>904876</xdr:rowOff>
    </xdr:from>
    <xdr:to>
      <xdr:col>3</xdr:col>
      <xdr:colOff>3905250</xdr:colOff>
      <xdr:row>17</xdr:row>
      <xdr:rowOff>1362076</xdr:rowOff>
    </xdr:to>
    <xdr:pic>
      <xdr:nvPicPr>
        <xdr:cNvPr id="5" name="Picture 4">
          <a:extLst>
            <a:ext uri="{FF2B5EF4-FFF2-40B4-BE49-F238E27FC236}">
              <a16:creationId xmlns:a16="http://schemas.microsoft.com/office/drawing/2014/main" id="{6A6DBD04-339B-4623-849E-49142B2E87E0}"/>
            </a:ext>
          </a:extLst>
        </xdr:cNvPr>
        <xdr:cNvPicPr>
          <a:picLocks noChangeAspect="1"/>
        </xdr:cNvPicPr>
      </xdr:nvPicPr>
      <xdr:blipFill>
        <a:blip xmlns:r="http://schemas.openxmlformats.org/officeDocument/2006/relationships" r:embed="rId4"/>
        <a:stretch>
          <a:fillRect/>
        </a:stretch>
      </xdr:blipFill>
      <xdr:spPr>
        <a:xfrm>
          <a:off x="3143250" y="29032201"/>
          <a:ext cx="3505200" cy="4572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B2853-54A1-4DBA-9BA0-EEF240D74DC3}">
  <sheetPr>
    <tabColor rgb="FFFF0000"/>
  </sheetPr>
  <dimension ref="A1:M104"/>
  <sheetViews>
    <sheetView showGridLines="0" tabSelected="1" zoomScaleNormal="100" workbookViewId="0">
      <pane ySplit="1" topLeftCell="A15" activePane="bottomLeft" state="frozen"/>
      <selection pane="bottomLeft" activeCell="D19" sqref="D19"/>
    </sheetView>
  </sheetViews>
  <sheetFormatPr defaultColWidth="8.7109375" defaultRowHeight="15" x14ac:dyDescent="0.25"/>
  <cols>
    <col min="1" max="1" width="9.28515625" style="23" customWidth="1"/>
    <col min="2" max="2" width="18" style="23" customWidth="1"/>
    <col min="3" max="3" width="13.85546875" style="23" customWidth="1"/>
    <col min="4" max="4" width="66.140625" style="23" customWidth="1"/>
    <col min="5" max="5" width="98.42578125" style="24" customWidth="1"/>
    <col min="6" max="7" width="52.140625" style="25" customWidth="1"/>
    <col min="8" max="8" width="30.7109375" customWidth="1"/>
    <col min="9" max="10" width="37.7109375" customWidth="1"/>
  </cols>
  <sheetData>
    <row r="1" spans="1:13" s="9" customFormat="1" ht="20.25" customHeight="1" x14ac:dyDescent="0.25">
      <c r="A1" s="10" t="s">
        <v>3</v>
      </c>
      <c r="B1" s="10" t="s">
        <v>17</v>
      </c>
      <c r="C1" s="10" t="s">
        <v>4</v>
      </c>
      <c r="D1" s="10" t="s">
        <v>2</v>
      </c>
      <c r="E1" s="10" t="s">
        <v>1</v>
      </c>
      <c r="F1" s="11" t="s">
        <v>0</v>
      </c>
      <c r="G1" s="11" t="s">
        <v>0</v>
      </c>
      <c r="H1" s="10" t="s">
        <v>5</v>
      </c>
    </row>
    <row r="2" spans="1:13" s="1" customFormat="1" ht="114" customHeight="1" x14ac:dyDescent="0.25">
      <c r="A2" s="14">
        <v>1</v>
      </c>
      <c r="B2" s="32">
        <v>46296</v>
      </c>
      <c r="C2" s="3" t="s">
        <v>13</v>
      </c>
      <c r="D2" s="15" t="s">
        <v>29</v>
      </c>
      <c r="E2" s="4" t="s">
        <v>33</v>
      </c>
      <c r="F2" s="12" t="s">
        <v>48</v>
      </c>
      <c r="G2" s="12"/>
      <c r="H2" s="5"/>
    </row>
    <row r="3" spans="1:13" s="1" customFormat="1" ht="144" customHeight="1" x14ac:dyDescent="0.25">
      <c r="A3" s="14">
        <f>+A2+1</f>
        <v>2</v>
      </c>
      <c r="B3" s="32">
        <v>46300</v>
      </c>
      <c r="C3" s="3" t="s">
        <v>12</v>
      </c>
      <c r="D3" s="15" t="s">
        <v>18</v>
      </c>
      <c r="E3" s="4" t="s">
        <v>23</v>
      </c>
      <c r="F3" s="12" t="s">
        <v>65</v>
      </c>
      <c r="G3" s="12"/>
      <c r="H3" s="5"/>
    </row>
    <row r="4" spans="1:13" s="1" customFormat="1" ht="132" x14ac:dyDescent="0.25">
      <c r="A4" s="14">
        <f>+A3+1</f>
        <v>3</v>
      </c>
      <c r="B4" s="32">
        <v>46300</v>
      </c>
      <c r="C4" s="3" t="s">
        <v>12</v>
      </c>
      <c r="D4" s="15" t="s">
        <v>19</v>
      </c>
      <c r="E4" s="4" t="s">
        <v>22</v>
      </c>
      <c r="F4" s="12" t="s">
        <v>49</v>
      </c>
      <c r="G4" s="12" t="e" vm="1">
        <v>#VALUE!</v>
      </c>
      <c r="H4" s="5"/>
    </row>
    <row r="5" spans="1:13" s="1" customFormat="1" ht="167.25" x14ac:dyDescent="0.25">
      <c r="A5" s="14">
        <f t="shared" ref="A5:A68" si="0">+A4+1</f>
        <v>4</v>
      </c>
      <c r="B5" s="32">
        <v>46300</v>
      </c>
      <c r="C5" s="3" t="s">
        <v>12</v>
      </c>
      <c r="D5" s="15" t="s">
        <v>20</v>
      </c>
      <c r="E5" s="4" t="s">
        <v>21</v>
      </c>
      <c r="F5" s="12" t="s">
        <v>50</v>
      </c>
      <c r="G5" s="12"/>
      <c r="H5" s="5"/>
    </row>
    <row r="6" spans="1:13" s="1" customFormat="1" ht="252" x14ac:dyDescent="0.25">
      <c r="A6" s="14">
        <f t="shared" si="0"/>
        <v>5</v>
      </c>
      <c r="B6" s="32">
        <v>46300</v>
      </c>
      <c r="C6" s="3" t="s">
        <v>13</v>
      </c>
      <c r="D6" s="15" t="s">
        <v>25</v>
      </c>
      <c r="E6" s="6" t="s">
        <v>24</v>
      </c>
      <c r="F6" s="12" t="s">
        <v>59</v>
      </c>
      <c r="G6" s="12"/>
      <c r="H6" s="5"/>
    </row>
    <row r="7" spans="1:13" s="1" customFormat="1" ht="216" x14ac:dyDescent="0.25">
      <c r="A7" s="14">
        <f t="shared" si="0"/>
        <v>6</v>
      </c>
      <c r="B7" s="32">
        <v>46300</v>
      </c>
      <c r="C7" s="3" t="s">
        <v>15</v>
      </c>
      <c r="D7" s="15" t="s">
        <v>27</v>
      </c>
      <c r="E7" s="6" t="s">
        <v>26</v>
      </c>
      <c r="F7" s="12" t="s">
        <v>52</v>
      </c>
      <c r="G7" s="12"/>
      <c r="H7" s="5"/>
    </row>
    <row r="8" spans="1:13" s="1" customFormat="1" ht="72" x14ac:dyDescent="0.25">
      <c r="A8" s="14">
        <f t="shared" si="0"/>
        <v>7</v>
      </c>
      <c r="B8" s="32">
        <v>46300</v>
      </c>
      <c r="C8" s="3" t="s">
        <v>13</v>
      </c>
      <c r="D8" s="15" t="s">
        <v>29</v>
      </c>
      <c r="E8" s="33" t="s">
        <v>28</v>
      </c>
      <c r="F8" s="12" t="s">
        <v>51</v>
      </c>
      <c r="G8" s="12"/>
      <c r="H8" s="5"/>
    </row>
    <row r="9" spans="1:13" s="1" customFormat="1" ht="113.45" customHeight="1" x14ac:dyDescent="0.25">
      <c r="A9" s="14">
        <f t="shared" si="0"/>
        <v>8</v>
      </c>
      <c r="B9" s="32">
        <v>46300</v>
      </c>
      <c r="C9" s="3" t="s">
        <v>11</v>
      </c>
      <c r="D9" s="15" t="s">
        <v>31</v>
      </c>
      <c r="E9" s="34" t="s">
        <v>30</v>
      </c>
      <c r="F9" s="12" t="s">
        <v>53</v>
      </c>
      <c r="G9" s="12"/>
      <c r="H9" s="5"/>
    </row>
    <row r="10" spans="1:13" s="1" customFormat="1" ht="276" x14ac:dyDescent="0.25">
      <c r="A10" s="14">
        <f t="shared" si="0"/>
        <v>9</v>
      </c>
      <c r="B10" s="32">
        <v>46300</v>
      </c>
      <c r="C10" s="3" t="s">
        <v>13</v>
      </c>
      <c r="D10" s="15" t="s">
        <v>29</v>
      </c>
      <c r="E10" s="33" t="s">
        <v>32</v>
      </c>
      <c r="F10" s="12" t="s">
        <v>64</v>
      </c>
      <c r="G10" s="12" t="s">
        <v>54</v>
      </c>
      <c r="H10" s="5"/>
    </row>
    <row r="11" spans="1:13" s="1" customFormat="1" ht="409.5" x14ac:dyDescent="0.25">
      <c r="A11" s="14">
        <f t="shared" si="0"/>
        <v>10</v>
      </c>
      <c r="B11" s="32">
        <v>46300</v>
      </c>
      <c r="C11" s="3" t="s">
        <v>15</v>
      </c>
      <c r="D11" s="35" t="s">
        <v>35</v>
      </c>
      <c r="E11" s="4" t="s">
        <v>34</v>
      </c>
      <c r="F11" s="12" t="s">
        <v>55</v>
      </c>
      <c r="G11" s="12" t="e" vm="2">
        <v>#VALUE!</v>
      </c>
      <c r="H11" s="5"/>
    </row>
    <row r="12" spans="1:13" s="1" customFormat="1" ht="409.5" x14ac:dyDescent="0.25">
      <c r="A12" s="14">
        <f t="shared" si="0"/>
        <v>11</v>
      </c>
      <c r="B12" s="32">
        <v>46300</v>
      </c>
      <c r="C12" s="3" t="s">
        <v>15</v>
      </c>
      <c r="D12" s="35" t="s">
        <v>37</v>
      </c>
      <c r="E12" s="33" t="s">
        <v>36</v>
      </c>
      <c r="F12" s="12" t="s">
        <v>66</v>
      </c>
      <c r="G12" s="12" t="s">
        <v>56</v>
      </c>
      <c r="H12" s="5"/>
    </row>
    <row r="13" spans="1:13" s="1" customFormat="1" ht="156" x14ac:dyDescent="0.25">
      <c r="A13" s="14">
        <f t="shared" si="0"/>
        <v>12</v>
      </c>
      <c r="B13" s="32">
        <v>46300</v>
      </c>
      <c r="C13" s="3" t="s">
        <v>13</v>
      </c>
      <c r="D13" s="15" t="s">
        <v>39</v>
      </c>
      <c r="E13" s="33" t="s">
        <v>38</v>
      </c>
      <c r="F13" s="12" t="s">
        <v>57</v>
      </c>
      <c r="G13" s="26"/>
      <c r="H13" s="5"/>
    </row>
    <row r="14" spans="1:13" s="1" customFormat="1" ht="120" x14ac:dyDescent="0.25">
      <c r="A14" s="14">
        <f t="shared" si="0"/>
        <v>13</v>
      </c>
      <c r="B14" s="32">
        <v>46303</v>
      </c>
      <c r="C14" s="3" t="s">
        <v>13</v>
      </c>
      <c r="D14" s="15" t="s">
        <v>39</v>
      </c>
      <c r="E14" s="33" t="s">
        <v>38</v>
      </c>
      <c r="F14" s="26" t="s">
        <v>58</v>
      </c>
      <c r="G14" s="26"/>
      <c r="H14" s="5"/>
    </row>
    <row r="15" spans="1:13" s="1" customFormat="1" ht="409.5" x14ac:dyDescent="0.25">
      <c r="A15" s="14">
        <f t="shared" si="0"/>
        <v>14</v>
      </c>
      <c r="B15" s="32">
        <v>46303</v>
      </c>
      <c r="C15" s="3" t="s">
        <v>12</v>
      </c>
      <c r="D15" s="35" t="s">
        <v>40</v>
      </c>
      <c r="E15" s="4" t="s">
        <v>41</v>
      </c>
      <c r="F15" s="26" t="s">
        <v>60</v>
      </c>
      <c r="G15" s="26"/>
      <c r="H15" s="5"/>
    </row>
    <row r="16" spans="1:13" s="1" customFormat="1" ht="132" x14ac:dyDescent="0.25">
      <c r="A16" s="14">
        <f t="shared" si="0"/>
        <v>15</v>
      </c>
      <c r="B16" s="32">
        <v>46303</v>
      </c>
      <c r="C16" s="3" t="s">
        <v>13</v>
      </c>
      <c r="D16" s="15" t="s">
        <v>42</v>
      </c>
      <c r="E16" s="33" t="s">
        <v>43</v>
      </c>
      <c r="F16" s="26" t="s">
        <v>61</v>
      </c>
      <c r="G16" s="26"/>
      <c r="H16" s="5"/>
      <c r="I16"/>
      <c r="J16"/>
      <c r="K16"/>
      <c r="L16"/>
      <c r="M16"/>
    </row>
    <row r="17" spans="1:8" s="1" customFormat="1" ht="102" x14ac:dyDescent="0.25">
      <c r="A17" s="14">
        <f t="shared" si="0"/>
        <v>16</v>
      </c>
      <c r="B17" s="32">
        <v>46303</v>
      </c>
      <c r="C17" s="3" t="s">
        <v>13</v>
      </c>
      <c r="D17" s="16" t="s">
        <v>44</v>
      </c>
      <c r="E17" s="33" t="s">
        <v>45</v>
      </c>
      <c r="F17" s="26" t="s">
        <v>62</v>
      </c>
      <c r="G17" s="26"/>
      <c r="H17" s="5"/>
    </row>
    <row r="18" spans="1:8" s="1" customFormat="1" ht="132" customHeight="1" x14ac:dyDescent="0.25">
      <c r="A18" s="14">
        <f t="shared" si="0"/>
        <v>17</v>
      </c>
      <c r="B18" s="32">
        <v>46303</v>
      </c>
      <c r="C18" s="3" t="s">
        <v>11</v>
      </c>
      <c r="D18" s="35" t="s">
        <v>46</v>
      </c>
      <c r="E18" s="36" t="s">
        <v>47</v>
      </c>
      <c r="F18" s="26" t="s">
        <v>63</v>
      </c>
      <c r="G18" s="26"/>
      <c r="H18" s="5"/>
    </row>
    <row r="19" spans="1:8" s="1" customFormat="1" ht="120" x14ac:dyDescent="0.25">
      <c r="A19" s="14">
        <f t="shared" si="0"/>
        <v>18</v>
      </c>
      <c r="B19" s="32">
        <v>46307</v>
      </c>
      <c r="C19" s="3" t="s">
        <v>12</v>
      </c>
      <c r="D19" s="15" t="s">
        <v>67</v>
      </c>
      <c r="E19" s="37" t="s">
        <v>68</v>
      </c>
      <c r="F19" s="26"/>
      <c r="G19" s="26"/>
      <c r="H19" s="5"/>
    </row>
    <row r="20" spans="1:8" s="1" customFormat="1" x14ac:dyDescent="0.25">
      <c r="A20" s="14">
        <f t="shared" si="0"/>
        <v>19</v>
      </c>
      <c r="B20" s="14"/>
      <c r="C20" s="3"/>
      <c r="D20" s="16"/>
      <c r="E20" s="8"/>
      <c r="F20" s="27"/>
      <c r="G20" s="27"/>
      <c r="H20" s="5"/>
    </row>
    <row r="21" spans="1:8" s="1" customFormat="1" x14ac:dyDescent="0.25">
      <c r="A21" s="14">
        <f t="shared" si="0"/>
        <v>20</v>
      </c>
      <c r="B21" s="14"/>
      <c r="C21" s="3"/>
      <c r="D21" s="16"/>
      <c r="E21" s="30"/>
      <c r="F21" s="26"/>
      <c r="G21" s="26"/>
      <c r="H21" s="5"/>
    </row>
    <row r="22" spans="1:8" s="1" customFormat="1" x14ac:dyDescent="0.25">
      <c r="A22" s="14">
        <f t="shared" si="0"/>
        <v>21</v>
      </c>
      <c r="B22" s="14"/>
      <c r="C22" s="3"/>
      <c r="D22" s="16"/>
      <c r="E22" s="8"/>
      <c r="F22" s="12"/>
      <c r="G22" s="12"/>
      <c r="H22" s="5"/>
    </row>
    <row r="23" spans="1:8" s="1" customFormat="1" x14ac:dyDescent="0.25">
      <c r="A23" s="14">
        <f t="shared" si="0"/>
        <v>22</v>
      </c>
      <c r="B23" s="14"/>
      <c r="C23" s="3"/>
      <c r="D23" s="16"/>
      <c r="E23" s="31"/>
      <c r="F23" s="12"/>
      <c r="G23" s="12"/>
      <c r="H23" s="5"/>
    </row>
    <row r="24" spans="1:8" s="1" customFormat="1" x14ac:dyDescent="0.25">
      <c r="A24" s="14">
        <f t="shared" si="0"/>
        <v>23</v>
      </c>
      <c r="B24" s="14"/>
      <c r="C24" s="3"/>
      <c r="D24" s="16"/>
      <c r="E24" s="8"/>
      <c r="F24" s="28"/>
      <c r="G24" s="28"/>
      <c r="H24" s="5"/>
    </row>
    <row r="25" spans="1:8" s="1" customFormat="1" x14ac:dyDescent="0.25">
      <c r="A25" s="14">
        <f t="shared" si="0"/>
        <v>24</v>
      </c>
      <c r="B25" s="14"/>
      <c r="C25" s="3"/>
      <c r="D25" s="16"/>
      <c r="E25" s="8"/>
      <c r="F25" s="29"/>
      <c r="G25" s="29"/>
      <c r="H25" s="5"/>
    </row>
    <row r="26" spans="1:8" s="1" customFormat="1" x14ac:dyDescent="0.25">
      <c r="A26" s="14">
        <f t="shared" si="0"/>
        <v>25</v>
      </c>
      <c r="B26" s="14"/>
      <c r="C26" s="3"/>
      <c r="D26" s="16"/>
      <c r="E26" s="4"/>
      <c r="F26" s="28"/>
      <c r="G26" s="28"/>
      <c r="H26" s="5"/>
    </row>
    <row r="27" spans="1:8" s="1" customFormat="1" x14ac:dyDescent="0.25">
      <c r="A27" s="14">
        <f t="shared" si="0"/>
        <v>26</v>
      </c>
      <c r="B27" s="14"/>
      <c r="C27" s="3"/>
      <c r="D27" s="16"/>
      <c r="E27" s="4"/>
      <c r="F27" s="12"/>
      <c r="G27" s="12"/>
      <c r="H27" s="5"/>
    </row>
    <row r="28" spans="1:8" s="1" customFormat="1" x14ac:dyDescent="0.25">
      <c r="A28" s="14">
        <f t="shared" si="0"/>
        <v>27</v>
      </c>
      <c r="B28" s="14"/>
      <c r="C28" s="3"/>
      <c r="D28" s="16"/>
      <c r="E28" s="4"/>
      <c r="F28" s="12"/>
      <c r="G28" s="12"/>
      <c r="H28" s="5"/>
    </row>
    <row r="29" spans="1:8" s="1" customFormat="1" x14ac:dyDescent="0.25">
      <c r="A29" s="14">
        <f t="shared" si="0"/>
        <v>28</v>
      </c>
      <c r="B29" s="14"/>
      <c r="C29" s="3"/>
      <c r="D29" s="16"/>
      <c r="E29" s="4"/>
      <c r="F29" s="12"/>
      <c r="G29" s="12"/>
      <c r="H29" s="5"/>
    </row>
    <row r="30" spans="1:8" s="1" customFormat="1" x14ac:dyDescent="0.25">
      <c r="A30" s="14">
        <f t="shared" si="0"/>
        <v>29</v>
      </c>
      <c r="B30" s="14"/>
      <c r="C30" s="3"/>
      <c r="D30" s="16"/>
      <c r="E30" s="4"/>
      <c r="F30" s="12"/>
      <c r="G30" s="12"/>
      <c r="H30" s="5"/>
    </row>
    <row r="31" spans="1:8" s="1" customFormat="1" x14ac:dyDescent="0.25">
      <c r="A31" s="14">
        <f t="shared" si="0"/>
        <v>30</v>
      </c>
      <c r="B31" s="14"/>
      <c r="C31" s="3"/>
      <c r="D31" s="16"/>
      <c r="E31" s="4"/>
      <c r="F31" s="12"/>
      <c r="G31" s="12"/>
      <c r="H31" s="5"/>
    </row>
    <row r="32" spans="1:8" s="1" customFormat="1" x14ac:dyDescent="0.25">
      <c r="A32" s="14">
        <f t="shared" si="0"/>
        <v>31</v>
      </c>
      <c r="B32" s="14"/>
      <c r="C32" s="3"/>
      <c r="D32" s="16"/>
      <c r="E32" s="4"/>
      <c r="F32" s="12"/>
      <c r="G32" s="12"/>
      <c r="H32" s="5"/>
    </row>
    <row r="33" spans="1:8" s="1" customFormat="1" x14ac:dyDescent="0.25">
      <c r="A33" s="14">
        <f t="shared" si="0"/>
        <v>32</v>
      </c>
      <c r="B33" s="14"/>
      <c r="C33" s="3"/>
      <c r="D33" s="16"/>
      <c r="E33" s="4"/>
      <c r="F33" s="13"/>
      <c r="G33" s="13"/>
      <c r="H33" s="5"/>
    </row>
    <row r="34" spans="1:8" s="1" customFormat="1" x14ac:dyDescent="0.25">
      <c r="A34" s="14">
        <f t="shared" si="0"/>
        <v>33</v>
      </c>
      <c r="B34" s="14"/>
      <c r="C34" s="3"/>
      <c r="D34" s="17"/>
      <c r="E34" s="2"/>
      <c r="F34" s="13"/>
      <c r="G34" s="13"/>
      <c r="H34" s="5"/>
    </row>
    <row r="35" spans="1:8" s="1" customFormat="1" x14ac:dyDescent="0.25">
      <c r="A35" s="14">
        <f t="shared" si="0"/>
        <v>34</v>
      </c>
      <c r="B35" s="14"/>
      <c r="C35" s="3"/>
      <c r="D35" s="17"/>
      <c r="E35" s="2"/>
      <c r="F35" s="13"/>
      <c r="G35" s="13"/>
      <c r="H35" s="5"/>
    </row>
    <row r="36" spans="1:8" s="1" customFormat="1" x14ac:dyDescent="0.25">
      <c r="A36" s="14">
        <f t="shared" si="0"/>
        <v>35</v>
      </c>
      <c r="B36" s="14"/>
      <c r="C36" s="3"/>
      <c r="D36" s="17"/>
      <c r="E36" s="2"/>
      <c r="F36" s="13"/>
      <c r="G36" s="13"/>
      <c r="H36" s="5"/>
    </row>
    <row r="37" spans="1:8" s="1" customFormat="1" x14ac:dyDescent="0.25">
      <c r="A37" s="14">
        <f t="shared" si="0"/>
        <v>36</v>
      </c>
      <c r="B37" s="14"/>
      <c r="C37" s="3"/>
      <c r="D37" s="17"/>
      <c r="E37" s="2"/>
      <c r="F37" s="13"/>
      <c r="G37" s="13"/>
      <c r="H37" s="5"/>
    </row>
    <row r="38" spans="1:8" s="1" customFormat="1" x14ac:dyDescent="0.25">
      <c r="A38" s="14">
        <f t="shared" si="0"/>
        <v>37</v>
      </c>
      <c r="B38" s="14"/>
      <c r="C38" s="3"/>
      <c r="D38" s="17"/>
      <c r="E38" s="2"/>
      <c r="F38" s="13"/>
      <c r="G38" s="13"/>
      <c r="H38" s="5"/>
    </row>
    <row r="39" spans="1:8" s="1" customFormat="1" x14ac:dyDescent="0.25">
      <c r="A39" s="14">
        <f t="shared" si="0"/>
        <v>38</v>
      </c>
      <c r="B39" s="14"/>
      <c r="C39" s="3"/>
      <c r="D39" s="17"/>
      <c r="E39" s="2"/>
      <c r="F39" s="13"/>
      <c r="G39" s="13"/>
      <c r="H39" s="5"/>
    </row>
    <row r="40" spans="1:8" s="1" customFormat="1" x14ac:dyDescent="0.25">
      <c r="A40" s="14">
        <f t="shared" si="0"/>
        <v>39</v>
      </c>
      <c r="B40" s="14"/>
      <c r="C40" s="3"/>
      <c r="D40" s="17"/>
      <c r="E40" s="2"/>
      <c r="F40" s="13"/>
      <c r="G40" s="13"/>
      <c r="H40" s="5"/>
    </row>
    <row r="41" spans="1:8" s="1" customFormat="1" x14ac:dyDescent="0.25">
      <c r="A41" s="14">
        <f t="shared" si="0"/>
        <v>40</v>
      </c>
      <c r="B41" s="14"/>
      <c r="C41" s="3"/>
      <c r="D41" s="17"/>
      <c r="E41" s="2"/>
      <c r="F41" s="13"/>
      <c r="G41" s="13"/>
      <c r="H41" s="5"/>
    </row>
    <row r="42" spans="1:8" s="1" customFormat="1" x14ac:dyDescent="0.25">
      <c r="A42" s="14">
        <f t="shared" si="0"/>
        <v>41</v>
      </c>
      <c r="B42" s="14"/>
      <c r="C42" s="3"/>
      <c r="D42" s="17"/>
      <c r="E42" s="2"/>
      <c r="F42" s="13"/>
      <c r="G42" s="13"/>
      <c r="H42" s="5"/>
    </row>
    <row r="43" spans="1:8" s="1" customFormat="1" x14ac:dyDescent="0.25">
      <c r="A43" s="14">
        <f t="shared" si="0"/>
        <v>42</v>
      </c>
      <c r="B43" s="14"/>
      <c r="C43" s="3"/>
      <c r="D43" s="17"/>
      <c r="E43" s="2"/>
      <c r="F43" s="13"/>
      <c r="G43" s="13"/>
      <c r="H43" s="5"/>
    </row>
    <row r="44" spans="1:8" s="1" customFormat="1" x14ac:dyDescent="0.25">
      <c r="A44" s="14">
        <f t="shared" si="0"/>
        <v>43</v>
      </c>
      <c r="B44" s="14"/>
      <c r="C44" s="3"/>
      <c r="D44" s="17"/>
      <c r="E44" s="2"/>
      <c r="F44" s="13"/>
      <c r="G44" s="13"/>
      <c r="H44" s="5"/>
    </row>
    <row r="45" spans="1:8" s="1" customFormat="1" x14ac:dyDescent="0.25">
      <c r="A45" s="14">
        <f t="shared" si="0"/>
        <v>44</v>
      </c>
      <c r="B45" s="14"/>
      <c r="C45" s="3"/>
      <c r="D45" s="17"/>
      <c r="E45" s="2"/>
      <c r="F45" s="13"/>
      <c r="G45" s="13"/>
      <c r="H45" s="5"/>
    </row>
    <row r="46" spans="1:8" s="1" customFormat="1" x14ac:dyDescent="0.25">
      <c r="A46" s="14">
        <f t="shared" si="0"/>
        <v>45</v>
      </c>
      <c r="B46" s="14"/>
      <c r="C46" s="3"/>
      <c r="D46" s="17"/>
      <c r="E46" s="2"/>
      <c r="F46" s="13"/>
      <c r="G46" s="13"/>
      <c r="H46" s="5"/>
    </row>
    <row r="47" spans="1:8" s="1" customFormat="1" x14ac:dyDescent="0.25">
      <c r="A47" s="14">
        <f t="shared" si="0"/>
        <v>46</v>
      </c>
      <c r="B47" s="14"/>
      <c r="C47" s="3"/>
      <c r="D47" s="17"/>
      <c r="E47" s="2"/>
      <c r="F47" s="13"/>
      <c r="G47" s="13"/>
      <c r="H47" s="5"/>
    </row>
    <row r="48" spans="1:8" s="1" customFormat="1" x14ac:dyDescent="0.25">
      <c r="A48" s="14">
        <f t="shared" si="0"/>
        <v>47</v>
      </c>
      <c r="B48" s="14"/>
      <c r="C48" s="3"/>
      <c r="D48" s="17"/>
      <c r="E48" s="2"/>
      <c r="F48" s="13"/>
      <c r="G48" s="13"/>
      <c r="H48" s="5"/>
    </row>
    <row r="49" spans="1:8" s="1" customFormat="1" x14ac:dyDescent="0.25">
      <c r="A49" s="14">
        <f t="shared" si="0"/>
        <v>48</v>
      </c>
      <c r="B49" s="14"/>
      <c r="C49" s="3"/>
      <c r="D49" s="17"/>
      <c r="E49" s="2"/>
      <c r="F49" s="13"/>
      <c r="G49" s="13"/>
      <c r="H49" s="5"/>
    </row>
    <row r="50" spans="1:8" s="1" customFormat="1" x14ac:dyDescent="0.25">
      <c r="A50" s="14">
        <f t="shared" si="0"/>
        <v>49</v>
      </c>
      <c r="B50" s="14"/>
      <c r="C50" s="3"/>
      <c r="D50" s="17"/>
      <c r="E50" s="2"/>
      <c r="F50" s="13"/>
      <c r="G50" s="13"/>
      <c r="H50" s="5"/>
    </row>
    <row r="51" spans="1:8" s="1" customFormat="1" x14ac:dyDescent="0.25">
      <c r="A51" s="14">
        <f t="shared" si="0"/>
        <v>50</v>
      </c>
      <c r="B51" s="14"/>
      <c r="C51" s="3"/>
      <c r="D51" s="17"/>
      <c r="E51" s="2"/>
      <c r="F51" s="13"/>
      <c r="G51" s="13"/>
      <c r="H51" s="5"/>
    </row>
    <row r="52" spans="1:8" s="1" customFormat="1" x14ac:dyDescent="0.25">
      <c r="A52" s="14">
        <f t="shared" si="0"/>
        <v>51</v>
      </c>
      <c r="B52" s="14"/>
      <c r="C52" s="3"/>
      <c r="D52" s="17"/>
      <c r="E52" s="2"/>
      <c r="F52" s="13"/>
      <c r="G52" s="13"/>
      <c r="H52" s="5"/>
    </row>
    <row r="53" spans="1:8" s="1" customFormat="1" x14ac:dyDescent="0.25">
      <c r="A53" s="14">
        <f t="shared" si="0"/>
        <v>52</v>
      </c>
      <c r="B53" s="14"/>
      <c r="C53" s="3"/>
      <c r="D53" s="17"/>
      <c r="E53" s="2"/>
      <c r="F53" s="13"/>
      <c r="G53" s="13"/>
      <c r="H53" s="5"/>
    </row>
    <row r="54" spans="1:8" s="1" customFormat="1" x14ac:dyDescent="0.25">
      <c r="A54" s="14">
        <f t="shared" si="0"/>
        <v>53</v>
      </c>
      <c r="B54" s="14"/>
      <c r="C54" s="3"/>
      <c r="D54" s="17"/>
      <c r="E54" s="2"/>
      <c r="F54" s="13"/>
      <c r="G54" s="13"/>
      <c r="H54" s="5"/>
    </row>
    <row r="55" spans="1:8" s="1" customFormat="1" x14ac:dyDescent="0.25">
      <c r="A55" s="14">
        <f t="shared" si="0"/>
        <v>54</v>
      </c>
      <c r="B55" s="14"/>
      <c r="C55" s="3"/>
      <c r="D55" s="17"/>
      <c r="E55" s="2"/>
      <c r="F55" s="13"/>
      <c r="G55" s="13"/>
      <c r="H55" s="5"/>
    </row>
    <row r="56" spans="1:8" s="1" customFormat="1" x14ac:dyDescent="0.25">
      <c r="A56" s="14">
        <f t="shared" si="0"/>
        <v>55</v>
      </c>
      <c r="B56" s="14"/>
      <c r="C56" s="3"/>
      <c r="D56" s="17"/>
      <c r="E56" s="2"/>
      <c r="F56" s="13"/>
      <c r="G56" s="13"/>
      <c r="H56" s="5"/>
    </row>
    <row r="57" spans="1:8" s="1" customFormat="1" x14ac:dyDescent="0.25">
      <c r="A57" s="14">
        <f t="shared" si="0"/>
        <v>56</v>
      </c>
      <c r="B57" s="14"/>
      <c r="C57" s="3"/>
      <c r="D57" s="17"/>
      <c r="E57" s="2"/>
      <c r="F57" s="13"/>
      <c r="G57" s="13"/>
      <c r="H57" s="5"/>
    </row>
    <row r="58" spans="1:8" s="1" customFormat="1" x14ac:dyDescent="0.25">
      <c r="A58" s="14">
        <f t="shared" si="0"/>
        <v>57</v>
      </c>
      <c r="B58" s="14"/>
      <c r="C58" s="3"/>
      <c r="D58" s="17"/>
      <c r="E58" s="2"/>
      <c r="F58" s="13"/>
      <c r="G58" s="13"/>
      <c r="H58" s="5"/>
    </row>
    <row r="59" spans="1:8" s="1" customFormat="1" x14ac:dyDescent="0.25">
      <c r="A59" s="14">
        <f t="shared" si="0"/>
        <v>58</v>
      </c>
      <c r="B59" s="14"/>
      <c r="C59" s="3"/>
      <c r="D59" s="17"/>
      <c r="E59" s="2"/>
      <c r="F59" s="13"/>
      <c r="G59" s="13"/>
      <c r="H59" s="5"/>
    </row>
    <row r="60" spans="1:8" s="1" customFormat="1" x14ac:dyDescent="0.25">
      <c r="A60" s="14">
        <f t="shared" si="0"/>
        <v>59</v>
      </c>
      <c r="B60" s="14"/>
      <c r="C60" s="3"/>
      <c r="D60" s="17"/>
      <c r="E60" s="2"/>
      <c r="F60" s="13"/>
      <c r="G60" s="13"/>
      <c r="H60" s="5"/>
    </row>
    <row r="61" spans="1:8" s="1" customFormat="1" x14ac:dyDescent="0.25">
      <c r="A61" s="14">
        <f t="shared" si="0"/>
        <v>60</v>
      </c>
      <c r="B61" s="14"/>
      <c r="C61" s="3"/>
      <c r="D61" s="17"/>
      <c r="E61" s="2"/>
      <c r="F61" s="13"/>
      <c r="G61" s="13"/>
      <c r="H61" s="5"/>
    </row>
    <row r="62" spans="1:8" s="1" customFormat="1" x14ac:dyDescent="0.25">
      <c r="A62" s="14">
        <f t="shared" si="0"/>
        <v>61</v>
      </c>
      <c r="B62" s="14"/>
      <c r="C62" s="3"/>
      <c r="D62" s="17"/>
      <c r="E62" s="2"/>
      <c r="F62" s="13"/>
      <c r="G62" s="13"/>
      <c r="H62" s="5"/>
    </row>
    <row r="63" spans="1:8" s="1" customFormat="1" x14ac:dyDescent="0.25">
      <c r="A63" s="14">
        <f t="shared" si="0"/>
        <v>62</v>
      </c>
      <c r="B63" s="14"/>
      <c r="C63" s="3"/>
      <c r="D63" s="17"/>
      <c r="E63" s="2"/>
      <c r="F63" s="13"/>
      <c r="G63" s="13"/>
      <c r="H63" s="5"/>
    </row>
    <row r="64" spans="1:8" s="1" customFormat="1" x14ac:dyDescent="0.25">
      <c r="A64" s="14">
        <f t="shared" si="0"/>
        <v>63</v>
      </c>
      <c r="B64" s="14"/>
      <c r="C64" s="3"/>
      <c r="D64" s="17"/>
      <c r="E64" s="2"/>
      <c r="F64" s="13"/>
      <c r="G64" s="13"/>
      <c r="H64" s="5"/>
    </row>
    <row r="65" spans="1:8" s="1" customFormat="1" x14ac:dyDescent="0.25">
      <c r="A65" s="14">
        <f t="shared" si="0"/>
        <v>64</v>
      </c>
      <c r="B65" s="14"/>
      <c r="C65" s="3"/>
      <c r="D65" s="17"/>
      <c r="E65" s="2"/>
      <c r="F65" s="13"/>
      <c r="G65" s="13"/>
      <c r="H65" s="5"/>
    </row>
    <row r="66" spans="1:8" s="1" customFormat="1" x14ac:dyDescent="0.25">
      <c r="A66" s="14">
        <f t="shared" si="0"/>
        <v>65</v>
      </c>
      <c r="B66" s="14"/>
      <c r="C66" s="3"/>
      <c r="D66" s="17"/>
      <c r="E66" s="2"/>
      <c r="F66" s="13"/>
      <c r="G66" s="13"/>
      <c r="H66" s="5"/>
    </row>
    <row r="67" spans="1:8" s="1" customFormat="1" x14ac:dyDescent="0.25">
      <c r="A67" s="14">
        <f t="shared" si="0"/>
        <v>66</v>
      </c>
      <c r="B67" s="14"/>
      <c r="C67" s="3"/>
      <c r="D67" s="17"/>
      <c r="E67" s="2"/>
      <c r="F67" s="13"/>
      <c r="G67" s="13"/>
      <c r="H67" s="5"/>
    </row>
    <row r="68" spans="1:8" s="1" customFormat="1" x14ac:dyDescent="0.25">
      <c r="A68" s="14">
        <f t="shared" si="0"/>
        <v>67</v>
      </c>
      <c r="B68" s="14"/>
      <c r="C68" s="3"/>
      <c r="D68" s="17"/>
      <c r="E68" s="2"/>
      <c r="F68" s="13"/>
      <c r="G68" s="13"/>
      <c r="H68" s="5"/>
    </row>
    <row r="69" spans="1:8" s="1" customFormat="1" x14ac:dyDescent="0.25">
      <c r="A69" s="14">
        <f t="shared" ref="A69:A103" si="1">+A68+1</f>
        <v>68</v>
      </c>
      <c r="B69" s="14"/>
      <c r="C69" s="3"/>
      <c r="D69" s="17"/>
      <c r="E69" s="2"/>
      <c r="F69" s="13"/>
      <c r="G69" s="13"/>
      <c r="H69" s="5"/>
    </row>
    <row r="70" spans="1:8" s="1" customFormat="1" x14ac:dyDescent="0.25">
      <c r="A70" s="14">
        <f t="shared" si="1"/>
        <v>69</v>
      </c>
      <c r="B70" s="14"/>
      <c r="C70" s="3"/>
      <c r="D70" s="17"/>
      <c r="E70" s="2"/>
      <c r="F70" s="13"/>
      <c r="G70" s="13"/>
      <c r="H70" s="5"/>
    </row>
    <row r="71" spans="1:8" s="1" customFormat="1" x14ac:dyDescent="0.25">
      <c r="A71" s="14">
        <f t="shared" si="1"/>
        <v>70</v>
      </c>
      <c r="B71" s="14"/>
      <c r="C71" s="3"/>
      <c r="D71" s="17"/>
      <c r="E71" s="2"/>
      <c r="F71" s="13"/>
      <c r="G71" s="13"/>
      <c r="H71" s="5"/>
    </row>
    <row r="72" spans="1:8" s="1" customFormat="1" x14ac:dyDescent="0.25">
      <c r="A72" s="14">
        <f t="shared" si="1"/>
        <v>71</v>
      </c>
      <c r="B72" s="14"/>
      <c r="C72" s="3"/>
      <c r="D72" s="17"/>
      <c r="E72" s="2"/>
      <c r="F72" s="13"/>
      <c r="G72" s="13"/>
      <c r="H72" s="5"/>
    </row>
    <row r="73" spans="1:8" s="1" customFormat="1" x14ac:dyDescent="0.25">
      <c r="A73" s="14">
        <f t="shared" si="1"/>
        <v>72</v>
      </c>
      <c r="B73" s="14"/>
      <c r="C73" s="3"/>
      <c r="D73" s="17"/>
      <c r="E73" s="2"/>
      <c r="F73" s="13"/>
      <c r="G73" s="13"/>
      <c r="H73" s="5"/>
    </row>
    <row r="74" spans="1:8" s="1" customFormat="1" x14ac:dyDescent="0.25">
      <c r="A74" s="14">
        <f t="shared" si="1"/>
        <v>73</v>
      </c>
      <c r="B74" s="14"/>
      <c r="C74" s="3"/>
      <c r="D74" s="17"/>
      <c r="E74" s="2"/>
      <c r="F74" s="13"/>
      <c r="G74" s="13"/>
      <c r="H74" s="5"/>
    </row>
    <row r="75" spans="1:8" s="1" customFormat="1" x14ac:dyDescent="0.25">
      <c r="A75" s="14">
        <f t="shared" si="1"/>
        <v>74</v>
      </c>
      <c r="B75" s="14"/>
      <c r="C75" s="3"/>
      <c r="D75" s="17"/>
      <c r="E75" s="2"/>
      <c r="F75" s="13"/>
      <c r="G75" s="13"/>
      <c r="H75" s="5"/>
    </row>
    <row r="76" spans="1:8" s="1" customFormat="1" x14ac:dyDescent="0.25">
      <c r="A76" s="14">
        <f t="shared" si="1"/>
        <v>75</v>
      </c>
      <c r="B76" s="14"/>
      <c r="C76" s="3"/>
      <c r="D76" s="17"/>
      <c r="E76" s="2"/>
      <c r="F76" s="13"/>
      <c r="G76" s="13"/>
      <c r="H76" s="5"/>
    </row>
    <row r="77" spans="1:8" s="1" customFormat="1" x14ac:dyDescent="0.25">
      <c r="A77" s="14">
        <f t="shared" si="1"/>
        <v>76</v>
      </c>
      <c r="B77" s="14"/>
      <c r="C77" s="3"/>
      <c r="D77" s="17"/>
      <c r="E77" s="2"/>
      <c r="F77" s="13"/>
      <c r="G77" s="13"/>
      <c r="H77" s="5"/>
    </row>
    <row r="78" spans="1:8" s="1" customFormat="1" x14ac:dyDescent="0.25">
      <c r="A78" s="14">
        <f t="shared" si="1"/>
        <v>77</v>
      </c>
      <c r="B78" s="14"/>
      <c r="C78" s="3"/>
      <c r="D78" s="17"/>
      <c r="E78" s="2"/>
      <c r="F78" s="13"/>
      <c r="G78" s="13"/>
      <c r="H78" s="5"/>
    </row>
    <row r="79" spans="1:8" s="1" customFormat="1" x14ac:dyDescent="0.25">
      <c r="A79" s="14">
        <f t="shared" si="1"/>
        <v>78</v>
      </c>
      <c r="B79" s="14"/>
      <c r="C79" s="3"/>
      <c r="D79" s="17"/>
      <c r="E79" s="2"/>
      <c r="F79" s="13"/>
      <c r="G79" s="13"/>
      <c r="H79" s="5"/>
    </row>
    <row r="80" spans="1:8" s="1" customFormat="1" x14ac:dyDescent="0.25">
      <c r="A80" s="14">
        <f t="shared" si="1"/>
        <v>79</v>
      </c>
      <c r="B80" s="14"/>
      <c r="C80" s="3"/>
      <c r="D80" s="17"/>
      <c r="E80" s="2"/>
      <c r="F80" s="13"/>
      <c r="G80" s="13"/>
      <c r="H80" s="5"/>
    </row>
    <row r="81" spans="1:8" s="1" customFormat="1" x14ac:dyDescent="0.25">
      <c r="A81" s="14">
        <f t="shared" si="1"/>
        <v>80</v>
      </c>
      <c r="B81" s="14"/>
      <c r="C81" s="3"/>
      <c r="D81" s="17"/>
      <c r="E81" s="2"/>
      <c r="F81" s="13"/>
      <c r="G81" s="13"/>
      <c r="H81" s="5"/>
    </row>
    <row r="82" spans="1:8" s="1" customFormat="1" x14ac:dyDescent="0.25">
      <c r="A82" s="14">
        <f t="shared" si="1"/>
        <v>81</v>
      </c>
      <c r="B82" s="14"/>
      <c r="C82" s="3"/>
      <c r="D82" s="17"/>
      <c r="E82" s="2"/>
      <c r="F82" s="13"/>
      <c r="G82" s="13"/>
      <c r="H82" s="5"/>
    </row>
    <row r="83" spans="1:8" s="1" customFormat="1" x14ac:dyDescent="0.25">
      <c r="A83" s="14">
        <f t="shared" si="1"/>
        <v>82</v>
      </c>
      <c r="B83" s="14"/>
      <c r="C83" s="3"/>
      <c r="D83" s="17"/>
      <c r="E83" s="2"/>
      <c r="F83" s="13"/>
      <c r="G83" s="13"/>
      <c r="H83" s="5"/>
    </row>
    <row r="84" spans="1:8" s="1" customFormat="1" x14ac:dyDescent="0.25">
      <c r="A84" s="14">
        <f t="shared" si="1"/>
        <v>83</v>
      </c>
      <c r="B84" s="14"/>
      <c r="C84" s="3"/>
      <c r="D84" s="17"/>
      <c r="E84" s="2"/>
      <c r="F84" s="13"/>
      <c r="G84" s="13"/>
      <c r="H84" s="5"/>
    </row>
    <row r="85" spans="1:8" s="1" customFormat="1" x14ac:dyDescent="0.25">
      <c r="A85" s="14">
        <f t="shared" si="1"/>
        <v>84</v>
      </c>
      <c r="B85" s="14"/>
      <c r="C85" s="3"/>
      <c r="D85" s="17"/>
      <c r="E85" s="2"/>
      <c r="F85" s="13"/>
      <c r="G85" s="13"/>
      <c r="H85" s="5"/>
    </row>
    <row r="86" spans="1:8" s="1" customFormat="1" x14ac:dyDescent="0.25">
      <c r="A86" s="14">
        <f t="shared" si="1"/>
        <v>85</v>
      </c>
      <c r="B86" s="14"/>
      <c r="C86" s="3"/>
      <c r="D86" s="17"/>
      <c r="E86" s="2"/>
      <c r="F86" s="13"/>
      <c r="G86" s="13"/>
      <c r="H86" s="5"/>
    </row>
    <row r="87" spans="1:8" s="1" customFormat="1" x14ac:dyDescent="0.25">
      <c r="A87" s="14">
        <f t="shared" si="1"/>
        <v>86</v>
      </c>
      <c r="B87" s="14"/>
      <c r="C87" s="3"/>
      <c r="D87" s="17"/>
      <c r="E87" s="2"/>
      <c r="F87" s="13"/>
      <c r="G87" s="13"/>
      <c r="H87" s="5"/>
    </row>
    <row r="88" spans="1:8" s="1" customFormat="1" x14ac:dyDescent="0.25">
      <c r="A88" s="14">
        <f t="shared" si="1"/>
        <v>87</v>
      </c>
      <c r="B88" s="14"/>
      <c r="C88" s="3"/>
      <c r="D88" s="17"/>
      <c r="E88" s="2"/>
      <c r="F88" s="13"/>
      <c r="G88" s="13"/>
      <c r="H88" s="5"/>
    </row>
    <row r="89" spans="1:8" s="1" customFormat="1" x14ac:dyDescent="0.25">
      <c r="A89" s="14">
        <f t="shared" si="1"/>
        <v>88</v>
      </c>
      <c r="B89" s="14"/>
      <c r="C89" s="3"/>
      <c r="D89" s="17"/>
      <c r="E89" s="2"/>
      <c r="F89" s="13"/>
      <c r="G89" s="13"/>
      <c r="H89" s="5"/>
    </row>
    <row r="90" spans="1:8" s="1" customFormat="1" x14ac:dyDescent="0.25">
      <c r="A90" s="14">
        <f t="shared" si="1"/>
        <v>89</v>
      </c>
      <c r="B90" s="14"/>
      <c r="C90" s="3"/>
      <c r="D90" s="17"/>
      <c r="E90" s="2"/>
      <c r="F90" s="13"/>
      <c r="G90" s="13"/>
      <c r="H90" s="5"/>
    </row>
    <row r="91" spans="1:8" s="1" customFormat="1" x14ac:dyDescent="0.25">
      <c r="A91" s="14">
        <f t="shared" si="1"/>
        <v>90</v>
      </c>
      <c r="B91" s="14"/>
      <c r="C91" s="3"/>
      <c r="D91" s="17"/>
      <c r="E91" s="2"/>
      <c r="F91" s="13"/>
      <c r="G91" s="13"/>
      <c r="H91" s="5"/>
    </row>
    <row r="92" spans="1:8" s="1" customFormat="1" x14ac:dyDescent="0.25">
      <c r="A92" s="14">
        <f t="shared" si="1"/>
        <v>91</v>
      </c>
      <c r="B92" s="14"/>
      <c r="C92" s="3"/>
      <c r="D92" s="17"/>
      <c r="E92" s="2"/>
      <c r="F92" s="13"/>
      <c r="G92" s="13"/>
      <c r="H92" s="5"/>
    </row>
    <row r="93" spans="1:8" s="1" customFormat="1" x14ac:dyDescent="0.25">
      <c r="A93" s="14">
        <f t="shared" si="1"/>
        <v>92</v>
      </c>
      <c r="B93" s="14"/>
      <c r="C93" s="3"/>
      <c r="D93" s="17"/>
      <c r="E93" s="2"/>
      <c r="F93" s="13"/>
      <c r="G93" s="13"/>
      <c r="H93" s="5"/>
    </row>
    <row r="94" spans="1:8" s="1" customFormat="1" x14ac:dyDescent="0.25">
      <c r="A94" s="14">
        <f t="shared" si="1"/>
        <v>93</v>
      </c>
      <c r="B94" s="14"/>
      <c r="C94" s="3"/>
      <c r="D94" s="17"/>
      <c r="E94" s="2"/>
      <c r="F94" s="13"/>
      <c r="G94" s="13"/>
      <c r="H94" s="5"/>
    </row>
    <row r="95" spans="1:8" s="1" customFormat="1" x14ac:dyDescent="0.25">
      <c r="A95" s="14">
        <f t="shared" si="1"/>
        <v>94</v>
      </c>
      <c r="B95" s="14"/>
      <c r="C95" s="3"/>
      <c r="D95" s="17"/>
      <c r="E95" s="2"/>
      <c r="F95" s="13"/>
      <c r="G95" s="13"/>
      <c r="H95" s="5"/>
    </row>
    <row r="96" spans="1:8" s="1" customFormat="1" x14ac:dyDescent="0.25">
      <c r="A96" s="14">
        <f t="shared" si="1"/>
        <v>95</v>
      </c>
      <c r="B96" s="14"/>
      <c r="C96" s="3"/>
      <c r="D96" s="17"/>
      <c r="E96" s="2"/>
      <c r="F96" s="13"/>
      <c r="G96" s="13"/>
      <c r="H96" s="5"/>
    </row>
    <row r="97" spans="1:8" s="1" customFormat="1" x14ac:dyDescent="0.25">
      <c r="A97" s="14">
        <f t="shared" si="1"/>
        <v>96</v>
      </c>
      <c r="B97" s="14"/>
      <c r="C97" s="3"/>
      <c r="D97" s="17"/>
      <c r="E97" s="2"/>
      <c r="F97" s="13"/>
      <c r="G97" s="13"/>
      <c r="H97" s="5"/>
    </row>
    <row r="98" spans="1:8" s="1" customFormat="1" x14ac:dyDescent="0.25">
      <c r="A98" s="14">
        <f t="shared" si="1"/>
        <v>97</v>
      </c>
      <c r="B98" s="14"/>
      <c r="C98" s="3"/>
      <c r="D98" s="17"/>
      <c r="E98" s="2"/>
      <c r="F98" s="13"/>
      <c r="G98" s="13"/>
      <c r="H98" s="5"/>
    </row>
    <row r="99" spans="1:8" s="1" customFormat="1" x14ac:dyDescent="0.25">
      <c r="A99" s="14">
        <f t="shared" si="1"/>
        <v>98</v>
      </c>
      <c r="B99" s="14"/>
      <c r="C99" s="3"/>
      <c r="D99" s="17"/>
      <c r="E99" s="2"/>
      <c r="F99" s="13"/>
      <c r="G99" s="13"/>
      <c r="H99" s="5"/>
    </row>
    <row r="100" spans="1:8" s="1" customFormat="1" x14ac:dyDescent="0.25">
      <c r="A100" s="14">
        <f t="shared" si="1"/>
        <v>99</v>
      </c>
      <c r="B100" s="14"/>
      <c r="C100" s="3"/>
      <c r="D100" s="17"/>
      <c r="E100" s="2"/>
      <c r="F100" s="13"/>
      <c r="G100" s="13"/>
      <c r="H100" s="5"/>
    </row>
    <row r="101" spans="1:8" s="1" customFormat="1" x14ac:dyDescent="0.25">
      <c r="A101" s="14">
        <f t="shared" si="1"/>
        <v>100</v>
      </c>
      <c r="B101" s="14"/>
      <c r="C101" s="3"/>
      <c r="D101" s="17"/>
      <c r="E101" s="2"/>
      <c r="F101" s="13"/>
      <c r="G101" s="13"/>
      <c r="H101" s="5"/>
    </row>
    <row r="102" spans="1:8" s="1" customFormat="1" x14ac:dyDescent="0.25">
      <c r="A102" s="14">
        <f t="shared" si="1"/>
        <v>101</v>
      </c>
      <c r="B102" s="14"/>
      <c r="C102" s="3"/>
      <c r="D102" s="17"/>
      <c r="E102" s="2"/>
      <c r="F102" s="13"/>
      <c r="G102" s="13"/>
      <c r="H102" s="5"/>
    </row>
    <row r="103" spans="1:8" s="1" customFormat="1" x14ac:dyDescent="0.25">
      <c r="A103" s="14">
        <f t="shared" si="1"/>
        <v>102</v>
      </c>
      <c r="B103" s="18"/>
      <c r="C103" s="19"/>
      <c r="D103" s="20"/>
      <c r="E103" s="21"/>
      <c r="F103" s="22"/>
      <c r="G103" s="22"/>
      <c r="H103" s="7"/>
    </row>
    <row r="104" spans="1:8" ht="15.95" customHeight="1" x14ac:dyDescent="0.25"/>
  </sheetData>
  <conditionalFormatting sqref="H2:H1048576">
    <cfRule type="cellIs" dxfId="0" priority="3" operator="equal">
      <formula>"Closed"</formula>
    </cfRule>
  </conditionalFormatting>
  <pageMargins left="0.7" right="0.7" top="0.75" bottom="0.75" header="0.3" footer="0.3"/>
  <pageSetup orientation="portrait" r:id="rId1"/>
  <headerFooter>
    <oddHeader>&amp;R&amp;"Arial"&amp;8&amp;K000000 Information classification: Internal&amp;1#_x000D_</oddHeader>
  </headerFooter>
  <drawing r:id="rId2"/>
  <extLst>
    <ext xmlns:x14="http://schemas.microsoft.com/office/spreadsheetml/2009/9/main" uri="{78C0D931-6437-407d-A8EE-F0AAD7539E65}">
      <x14:conditionalFormattings>
        <x14:conditionalFormatting xmlns:xm="http://schemas.microsoft.com/office/excel/2006/main">
          <x14:cfRule type="cellIs" priority="1" operator="equal" id="{735AF859-BD81-4C92-9C9F-F36E8CEB25CA}">
            <xm:f>Sheet1!$B$2</xm:f>
            <x14:dxf>
              <font>
                <color rgb="FF9C5700"/>
              </font>
              <fill>
                <patternFill>
                  <bgColor rgb="FFFFEB9C"/>
                </patternFill>
              </fill>
            </x14:dxf>
          </x14:cfRule>
          <x14:cfRule type="cellIs" priority="2" operator="equal" id="{CCC6A54E-56C3-4FE6-872B-52E0BA7C7C19}">
            <xm:f>Sheet1!$B$3</xm:f>
            <x14:dxf>
              <font>
                <color rgb="FF9C0006"/>
              </font>
              <fill>
                <patternFill>
                  <bgColor rgb="FFFFC7CE"/>
                </patternFill>
              </fill>
            </x14:dxf>
          </x14:cfRule>
          <xm:sqref>H2:H1048576</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8166C477-F18D-4952-9C6D-A539C08A7CCE}">
          <x14:formula1>
            <xm:f>Sheet1!$B$1:$B$3</xm:f>
          </x14:formula1>
          <xm:sqref>H2:H1048576</xm:sqref>
        </x14:dataValidation>
        <x14:dataValidation type="list" allowBlank="1" showInputMessage="1" showErrorMessage="1" xr:uid="{954D6F8A-CBDB-4924-AF37-251A555E832B}">
          <x14:formula1>
            <xm:f>Sheet1!$A$1:$A$8</xm:f>
          </x14:formula1>
          <xm:sqref>C2:C1048576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8AA03-4F71-4AE5-8793-188E8FD14D97}">
  <dimension ref="A1:B8"/>
  <sheetViews>
    <sheetView workbookViewId="0">
      <selection activeCell="B3" sqref="B3"/>
    </sheetView>
  </sheetViews>
  <sheetFormatPr defaultRowHeight="15" x14ac:dyDescent="0.25"/>
  <cols>
    <col min="1" max="1" width="21.28515625" customWidth="1"/>
    <col min="2" max="2" width="29.42578125" customWidth="1"/>
    <col min="3" max="3" width="31.28515625" bestFit="1" customWidth="1"/>
  </cols>
  <sheetData>
    <row r="1" spans="1:2" x14ac:dyDescent="0.25">
      <c r="A1" t="s">
        <v>10</v>
      </c>
      <c r="B1" t="s">
        <v>6</v>
      </c>
    </row>
    <row r="2" spans="1:2" x14ac:dyDescent="0.25">
      <c r="A2" t="s">
        <v>11</v>
      </c>
      <c r="B2" t="s">
        <v>7</v>
      </c>
    </row>
    <row r="3" spans="1:2" x14ac:dyDescent="0.25">
      <c r="A3" t="s">
        <v>12</v>
      </c>
      <c r="B3" t="s">
        <v>9</v>
      </c>
    </row>
    <row r="4" spans="1:2" x14ac:dyDescent="0.25">
      <c r="A4" t="s">
        <v>13</v>
      </c>
    </row>
    <row r="5" spans="1:2" x14ac:dyDescent="0.25">
      <c r="A5" t="s">
        <v>14</v>
      </c>
    </row>
    <row r="6" spans="1:2" x14ac:dyDescent="0.25">
      <c r="A6" t="s">
        <v>15</v>
      </c>
    </row>
    <row r="7" spans="1:2" x14ac:dyDescent="0.25">
      <c r="A7" t="s">
        <v>16</v>
      </c>
    </row>
    <row r="8" spans="1:2" x14ac:dyDescent="0.25">
      <c r="A8"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Question_Log</vt:lpstr>
      <vt:lpstr>Sheet1</vt:lpstr>
    </vt:vector>
  </TitlesOfParts>
  <Company>Handelsbanken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Ariel Gimenez</dc:creator>
  <cp:lastModifiedBy>Aishika Bhattacharya</cp:lastModifiedBy>
  <dcterms:created xsi:type="dcterms:W3CDTF">2026-04-16T14:07:43Z</dcterms:created>
  <dcterms:modified xsi:type="dcterms:W3CDTF">2026-10-12T10:53:36Z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1c28e5d-eba5-4573-b5ae-aae16f0d8d9b_Enabled">
    <vt:lpwstr>true</vt:lpwstr>
  </property>
  <property fmtid="{D5CDD505-2E9C-101B-9397-08002B2CF9AE}" pid="3" name="MSIP_Label_11c28e5d-eba5-4573-b5ae-aae16f0d8d9b_SetDate">
    <vt:lpwstr>2026-04-16T14:12:29Z</vt:lpwstr>
  </property>
  <property fmtid="{D5CDD505-2E9C-101B-9397-08002B2CF9AE}" pid="4" name="MSIP_Label_11c28e5d-eba5-4573-b5ae-aae16f0d8d9b_Method">
    <vt:lpwstr>Privileged</vt:lpwstr>
  </property>
  <property fmtid="{D5CDD505-2E9C-101B-9397-08002B2CF9AE}" pid="5" name="MSIP_Label_11c28e5d-eba5-4573-b5ae-aae16f0d8d9b_Name">
    <vt:lpwstr>Internal - Visual label</vt:lpwstr>
  </property>
  <property fmtid="{D5CDD505-2E9C-101B-9397-08002B2CF9AE}" pid="6" name="MSIP_Label_11c28e5d-eba5-4573-b5ae-aae16f0d8d9b_SiteId">
    <vt:lpwstr>4aba1e73-421d-4e8f-895a-786b597ba991</vt:lpwstr>
  </property>
  <property fmtid="{D5CDD505-2E9C-101B-9397-08002B2CF9AE}" pid="7" name="MSIP_Label_11c28e5d-eba5-4573-b5ae-aae16f0d8d9b_ActionId">
    <vt:lpwstr>890be5c8-9494-4009-be12-20c56c5e2bb3</vt:lpwstr>
  </property>
  <property fmtid="{D5CDD505-2E9C-101B-9397-08002B2CF9AE}" pid="8" name="MSIP_Label_11c28e5d-eba5-4573-b5ae-aae16f0d8d9b_ContentBits">
    <vt:lpwstr>1</vt:lpwstr>
  </property>
  <property fmtid="{D5CDD505-2E9C-101B-9397-08002B2CF9AE}" pid="9" name="MSIP_Label_11c28e5d-eba5-4573-b5ae-aae16f0d8d9b_Tag">
    <vt:lpwstr>10, 0, 1, 1</vt:lpwstr>
  </property>
</Properties>
</file>