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shbmain\data\London\Resources\N-Z\UKX FCP Shared Data\FCDA-ROVA Tfr\ROVA Governance\Change Governance\Control Set Changes\August 2026 Changes\2026-08-12 P UHAMT &amp; C CVOL CrsBrdMinAmnt\"/>
    </mc:Choice>
  </mc:AlternateContent>
  <xr:revisionPtr revIDLastSave="0" documentId="13_ncr:1_{8CE45A9C-FA0D-42D3-8FCB-FE1E9D3DB0B2}" xr6:coauthVersionLast="47" xr6:coauthVersionMax="47" xr10:uidLastSave="{00000000-0000-0000-0000-000000000000}"/>
  <bookViews>
    <workbookView xWindow="19095" yWindow="-16200" windowWidth="19410" windowHeight="15585" xr2:uid="{8E6AAFD8-ADFD-43CF-A8FB-DDD23B4F3AB8}"/>
  </bookViews>
  <sheets>
    <sheet name="Scenario Crossover" sheetId="1" r:id="rId1"/>
    <sheet name="Cross Border Fraud" sheetId="4" r:id="rId2"/>
    <sheet name="Other Scenario Hits" sheetId="3" r:id="rId3"/>
    <sheet name="Raw Alert Data" sheetId="2" r:id="rId4"/>
  </sheets>
  <calcPr calcId="191029"/>
  <pivotCaches>
    <pivotCache cacheId="1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6" i="1" l="1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</calcChain>
</file>

<file path=xl/sharedStrings.xml><?xml version="1.0" encoding="utf-8"?>
<sst xmlns="http://schemas.openxmlformats.org/spreadsheetml/2006/main" count="7950" uniqueCount="416">
  <si>
    <t>Date</t>
  </si>
  <si>
    <t>Target_hit</t>
  </si>
  <si>
    <t xml:space="preserve">C6 </t>
  </si>
  <si>
    <t>ABNM PC CompAcc 1</t>
  </si>
  <si>
    <t xml:space="preserve">           </t>
  </si>
  <si>
    <t>GB</t>
  </si>
  <si>
    <t xml:space="preserve">   </t>
  </si>
  <si>
    <t>GBP</t>
  </si>
  <si>
    <t xml:space="preserve">INET    </t>
  </si>
  <si>
    <t xml:space="preserve">CURRENT ACCOUNT                                   </t>
  </si>
  <si>
    <t xml:space="preserve">C7 </t>
  </si>
  <si>
    <t xml:space="preserve">MOBI    </t>
  </si>
  <si>
    <t>NWBKGB2132V</t>
  </si>
  <si>
    <t xml:space="preserve">car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</si>
  <si>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GB81HAND40516228217919            </t>
  </si>
  <si>
    <t xml:space="preserve">DEPOSIT ACCOUNT                                   </t>
  </si>
  <si>
    <t>NWBKGB2118W</t>
  </si>
  <si>
    <t xml:space="preserve">GIFT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</si>
  <si>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GB84HAND40516234456032            </t>
  </si>
  <si>
    <t>HBUKGB4153L</t>
  </si>
  <si>
    <t>BOFSGBS1CTL</t>
  </si>
  <si>
    <t xml:space="preserve">HB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</si>
  <si>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GB84HAND40516224516248            </t>
  </si>
  <si>
    <t>ABNM PC CompAcc 2</t>
  </si>
  <si>
    <t>ABNM PC CompAcc 3</t>
  </si>
  <si>
    <t>ABNM PC CompAcc 4</t>
  </si>
  <si>
    <t xml:space="preserve">                              </t>
  </si>
  <si>
    <t>EUR</t>
  </si>
  <si>
    <t xml:space="preserve">EURO CURRENT ACCOUNT                              </t>
  </si>
  <si>
    <t>BCYPGB2LXXX</t>
  </si>
  <si>
    <t xml:space="preserve">Cyn2Yr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</si>
  <si>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GB74HAND40516260527581            </t>
  </si>
  <si>
    <t xml:space="preserve">MarcusJJ2026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</si>
  <si>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MarcusCJ2026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</si>
  <si>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RAPC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</si>
  <si>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GB59HAND40516276826373            </t>
  </si>
  <si>
    <t xml:space="preserve">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</si>
  <si>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GB89HAND40516214461623            </t>
  </si>
  <si>
    <t xml:space="preserve">TVR payment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</si>
  <si>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GB47HAND40516224759996            </t>
  </si>
  <si>
    <t>ABNM RSK GEO</t>
  </si>
  <si>
    <t xml:space="preserve">GB23HAND40516265532535            </t>
  </si>
  <si>
    <t>ABNM RSK P HAmntDev</t>
  </si>
  <si>
    <t xml:space="preserve">INSTANT ACCESS DEPOSIT ACCOUNT                    </t>
  </si>
  <si>
    <t xml:space="preserve">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</si>
  <si>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</si>
  <si>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GB10HAND40516285046550            </t>
  </si>
  <si>
    <t xml:space="preserve">DEPOSIT ACCOUNT 2                                 </t>
  </si>
  <si>
    <t>HBUKGB4196C</t>
  </si>
  <si>
    <t>MYMBGB2LXXX</t>
  </si>
  <si>
    <t xml:space="preserve">MR MARK WATSON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</si>
  <si>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GB43HAND40516263930414            </t>
  </si>
  <si>
    <t xml:space="preserve">DEPOSIT ACCOUNT NO 2                              </t>
  </si>
  <si>
    <t xml:space="preserve">Tfr Hdlsbk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</si>
  <si>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GB31HAND40516237199079            </t>
  </si>
  <si>
    <t xml:space="preserve">Tfr Hbnk.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</si>
  <si>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klander handels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</si>
  <si>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GB28HAND40516224592140            </t>
  </si>
  <si>
    <t xml:space="preserve">Vines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</si>
  <si>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GB35HAND40516249169001            </t>
  </si>
  <si>
    <t xml:space="preserve">GB86HAND40516239994890            </t>
  </si>
  <si>
    <t xml:space="preserve">deposit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</si>
  <si>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GB42HAND40516287347008            </t>
  </si>
  <si>
    <t xml:space="preserve">CURRENT ACCOUNT MORTGAGE                          </t>
  </si>
  <si>
    <t xml:space="preserve">GB45HAND40516238321020            </t>
  </si>
  <si>
    <t>HBUKGB4144M</t>
  </si>
  <si>
    <t xml:space="preserve">Pikes Peak paid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</si>
  <si>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GB47HAND40516246151794            </t>
  </si>
  <si>
    <t>SMIWGB2LXXX</t>
  </si>
  <si>
    <t xml:space="preserve">Polly Evelyn Gift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</si>
  <si>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GB59HAND40516222636256            </t>
  </si>
  <si>
    <t>NWBKGB2107R</t>
  </si>
  <si>
    <t xml:space="preserve">Car payment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</si>
  <si>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GB34HAND40516245046616            </t>
  </si>
  <si>
    <t>YORKGB21641</t>
  </si>
  <si>
    <t xml:space="preserve">CP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</si>
  <si>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GB10HAND40516275374777            </t>
  </si>
  <si>
    <t xml:space="preserve">Brookes 8359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</si>
  <si>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GB25HAND40516249805016            </t>
  </si>
  <si>
    <t xml:space="preserve">Savings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</si>
  <si>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GB16HAND40516253720001            </t>
  </si>
  <si>
    <t xml:space="preserve">CAIXESBB   </t>
  </si>
  <si>
    <t>ES</t>
  </si>
  <si>
    <t xml:space="preserve">ES1321000780131300547958          </t>
  </si>
  <si>
    <t xml:space="preserve">CLASE G 8340MGL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</si>
  <si>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GB80HAND40516264932825            </t>
  </si>
  <si>
    <t xml:space="preserve">Funds Transfer 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</si>
  <si>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GB87HAND40516238666845            </t>
  </si>
  <si>
    <t xml:space="preserve">CBS Fix ISA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</si>
  <si>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GB50HAND40516241400001            </t>
  </si>
  <si>
    <t xml:space="preserve">EXPENSES ACCOUNT                                  </t>
  </si>
  <si>
    <t>RBOSGB21528</t>
  </si>
  <si>
    <t xml:space="preserve">DH for Steph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</si>
  <si>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GB94HAND40516269781991            </t>
  </si>
  <si>
    <t xml:space="preserve">17/07 Cunningham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</si>
  <si>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GB75HAND40516253213278            </t>
  </si>
  <si>
    <t xml:space="preserve">Chase saver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</si>
  <si>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GB51HAND40516241432963            </t>
  </si>
  <si>
    <t xml:space="preserve">KRBS issue2 ltd ac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</si>
  <si>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GB95HAND40516247387001            </t>
  </si>
  <si>
    <t xml:space="preserve">House gift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</si>
  <si>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GB17HAND40516217711061            </t>
  </si>
  <si>
    <t>CPBKGB21PSA</t>
  </si>
  <si>
    <t xml:space="preserve">Gift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</si>
  <si>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GB46HAND40516236196314            </t>
  </si>
  <si>
    <t xml:space="preserve">ANNE DEPOSIT ACCOUNT                              </t>
  </si>
  <si>
    <t xml:space="preserve">C8 </t>
  </si>
  <si>
    <t xml:space="preserve">From Cahoot saving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</si>
  <si>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GB18HAND40516288234505            </t>
  </si>
  <si>
    <t>ABNM RSK P HAmntDev (Test)</t>
  </si>
  <si>
    <t>NRNBGB2LSAV</t>
  </si>
  <si>
    <t xml:space="preserve">Patek Singapore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</si>
  <si>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GB86HAND40516229778656            </t>
  </si>
  <si>
    <t xml:space="preserve">savings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</si>
  <si>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GB07HAND40516240247930            </t>
  </si>
  <si>
    <t xml:space="preserve">SOLE CURRENT ACCOUNT                              </t>
  </si>
  <si>
    <t xml:space="preserve">GMC/49SYDNEY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</si>
  <si>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GB67HAND40516274059886            </t>
  </si>
  <si>
    <t xml:space="preserve">Virgin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</si>
  <si>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GB68HAND40516273988961            </t>
  </si>
  <si>
    <t xml:space="preserve">To HSBC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</si>
  <si>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GB76HAND40516246306375            </t>
  </si>
  <si>
    <t xml:space="preserve">Michael Baylis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</si>
  <si>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GB11HAND40516251349411            </t>
  </si>
  <si>
    <t>ABNM RSK PC AmntDev 1</t>
  </si>
  <si>
    <t>ABNM RSK PC AmntDev CHPS</t>
  </si>
  <si>
    <t xml:space="preserve">GB12HAND40516238616979            </t>
  </si>
  <si>
    <t xml:space="preserve">Rasmus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</si>
  <si>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ABNM RSK PC D1</t>
  </si>
  <si>
    <t xml:space="preserve">pay back of 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</si>
  <si>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Savings (Cahoot)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</si>
  <si>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GB42HAND40516212423723            </t>
  </si>
  <si>
    <t>LOYDGB21F87</t>
  </si>
  <si>
    <t xml:space="preserve">Building repairs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</si>
  <si>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GB07HAND40516272028040            </t>
  </si>
  <si>
    <t>LOYDGB21F45</t>
  </si>
  <si>
    <t xml:space="preserve">EM1579949-003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</si>
  <si>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GB39HAND40516275776999            </t>
  </si>
  <si>
    <t xml:space="preserve">MR &amp; MRS A R WOOD HOUSE ACCOUNT                   </t>
  </si>
  <si>
    <t xml:space="preserve">EM1584363-001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</si>
  <si>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YORKGB21200</t>
  </si>
  <si>
    <t xml:space="preserve">Directors 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</si>
  <si>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GB98HAND40516267160882            </t>
  </si>
  <si>
    <t>MIDLGB2196K</t>
  </si>
  <si>
    <t xml:space="preserve">PA27312511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</si>
  <si>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GB31HAND40516213470842            </t>
  </si>
  <si>
    <t xml:space="preserve">DH to DDJ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</si>
  <si>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HBOT Sauna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</si>
  <si>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GB39HAND40516258923540            </t>
  </si>
  <si>
    <t>ABNM RSK PC NwPymMtd</t>
  </si>
  <si>
    <t>HSBCSGSGPBD</t>
  </si>
  <si>
    <t>SG</t>
  </si>
  <si>
    <t xml:space="preserve">ROBERT AND HANNA NUGENT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</si>
  <si>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GB24HAND40516218776965            </t>
  </si>
  <si>
    <t xml:space="preserve">BOFIIE2D   </t>
  </si>
  <si>
    <t>IE</t>
  </si>
  <si>
    <t xml:space="preserve">IE73BOFI90535286857629            </t>
  </si>
  <si>
    <t xml:space="preserve">house deposit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</si>
  <si>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GB47HAND40516248304321            </t>
  </si>
  <si>
    <t>ABNM RSK PC NwPymtMtd CHPS</t>
  </si>
  <si>
    <t xml:space="preserve">Tfr Hdlsbnk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</si>
  <si>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HBUKGB41CM1</t>
  </si>
  <si>
    <t xml:space="preserve">LOAN REPAYMENT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</si>
  <si>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GB10HAND40516234709176            </t>
  </si>
  <si>
    <t xml:space="preserve">FL79685623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</si>
  <si>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GB41HAND40516289421662            </t>
  </si>
  <si>
    <t>FM01 K ABNM P 1</t>
  </si>
  <si>
    <t>RSK Backstop P</t>
  </si>
  <si>
    <t>RSK NBG Limit P FP</t>
  </si>
  <si>
    <t xml:space="preserve">Savings ThisBank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</si>
  <si>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GB64HAND40516240139622            </t>
  </si>
  <si>
    <t>HBUKGB4151R</t>
  </si>
  <si>
    <t xml:space="preserve">Sophie gift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</si>
  <si>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GB73HAND40516282107771            </t>
  </si>
  <si>
    <t xml:space="preserve">Saving Acc Cahoot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</si>
  <si>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HBUKGB4166F</t>
  </si>
  <si>
    <t xml:space="preserve">Karen HSBC acct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</si>
  <si>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GB95HAND40516227722094            </t>
  </si>
  <si>
    <t xml:space="preserve">EXECUTORS OF JOAN VERRILL ACCOUNT                 </t>
  </si>
  <si>
    <t>RSK RED P BACKSTOP CrsBrd</t>
  </si>
  <si>
    <t>RSK RED P CNBVOL 1</t>
  </si>
  <si>
    <t xml:space="preserve">4510389707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</si>
  <si>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GB33HAND40516220222976            </t>
  </si>
  <si>
    <t xml:space="preserve">DEPOSIT ACCOUNT NO.2                              </t>
  </si>
  <si>
    <t xml:space="preserve">4505782807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</si>
  <si>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RSK RED P CVAL</t>
  </si>
  <si>
    <t xml:space="preserve">Dad 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</si>
  <si>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GB26HAND40516252550001            </t>
  </si>
  <si>
    <t xml:space="preserve">Trish Revolut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</si>
  <si>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GB57HAND40516236962610            </t>
  </si>
  <si>
    <t>RSK RED P CVOL</t>
  </si>
  <si>
    <t>RSK RED P CVOL CVAL</t>
  </si>
  <si>
    <t>RSK RED P NBG Limit FP</t>
  </si>
  <si>
    <t>RSK RED P UHAMT</t>
  </si>
  <si>
    <t xml:space="preserve">Handelsbanken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</si>
  <si>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 Yr bond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</si>
  <si>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GB60HAND40516247852261            </t>
  </si>
  <si>
    <t xml:space="preserve">Clive Sykes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</si>
  <si>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GB22HAND40516213665974            </t>
  </si>
  <si>
    <t>NWBKGB2151Y</t>
  </si>
  <si>
    <t xml:space="preserve">DL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</si>
  <si>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GB12HAND40516261829273            </t>
  </si>
  <si>
    <t xml:space="preserve">GB72HAND40516248817001            </t>
  </si>
  <si>
    <t xml:space="preserve">ISA 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</si>
  <si>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GB47HAND40516262535676            </t>
  </si>
  <si>
    <t>LEEDGB2AXXX</t>
  </si>
  <si>
    <t xml:space="preserve">Leeds saving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</si>
  <si>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GB09HAND40516249306045            </t>
  </si>
  <si>
    <t>LOYDGB21525</t>
  </si>
  <si>
    <t xml:space="preserve">SDF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</si>
  <si>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GB04HAND40516234165114            </t>
  </si>
  <si>
    <t>LOYDGB21285</t>
  </si>
  <si>
    <t xml:space="preserve">2026 PPE payment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</si>
  <si>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GB22HAND40516231879373            </t>
  </si>
  <si>
    <t xml:space="preserve">CASH POOL DEPOSIT                                 </t>
  </si>
  <si>
    <t xml:space="preserve">FL77034551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</si>
  <si>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CHASE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</si>
  <si>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GB32HAND40516286154573            </t>
  </si>
  <si>
    <t>HBUKGB4196B</t>
  </si>
  <si>
    <t xml:space="preserve">JB Maisie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</si>
  <si>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GB18HAND40516257851874            </t>
  </si>
  <si>
    <t>HBUKGB4194R</t>
  </si>
  <si>
    <t xml:space="preserve">FRF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</si>
  <si>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GB88HAND40516235315380            </t>
  </si>
  <si>
    <t>RBOSGB2109X</t>
  </si>
  <si>
    <t xml:space="preserve">WEDDING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</si>
  <si>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GB45HAND40516289978467            </t>
  </si>
  <si>
    <t xml:space="preserve">cov isa mj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</si>
  <si>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GB52HAND40516269547716            </t>
  </si>
  <si>
    <t xml:space="preserve">cov isa rj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</si>
  <si>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ToFlexPlusExHbkn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</si>
  <si>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GB07HAND40516223978508            </t>
  </si>
  <si>
    <t>RSK RED P UVAL GEN</t>
  </si>
  <si>
    <t>RSK RED P UVOL GEN</t>
  </si>
  <si>
    <t>TXNID</t>
  </si>
  <si>
    <t>cval</t>
  </si>
  <si>
    <t>Scenarios</t>
  </si>
  <si>
    <t>ID</t>
  </si>
  <si>
    <t>EFFTMSTP</t>
  </si>
  <si>
    <t>PYMTTP</t>
  </si>
  <si>
    <t>IPTP</t>
  </si>
  <si>
    <t>RECVACCTBIC</t>
  </si>
  <si>
    <t>RECVACCTISOCNTRYCD</t>
  </si>
  <si>
    <t>RECVACCTISOCURRCD</t>
  </si>
  <si>
    <t>RECVACCTNBR</t>
  </si>
  <si>
    <t>RECVACCTNATBNKID</t>
  </si>
  <si>
    <t>MNTRINSTRAMT</t>
  </si>
  <si>
    <t>ISOCURRCODE</t>
  </si>
  <si>
    <t>AMT_BASE_CURR</t>
  </si>
  <si>
    <t>FREETX</t>
  </si>
  <si>
    <t>TXNEXTSRCE</t>
  </si>
  <si>
    <t>CUSTIPIDFR</t>
  </si>
  <si>
    <t>USERIPIDFR</t>
  </si>
  <si>
    <t>SNDBYIPIDFR</t>
  </si>
  <si>
    <t>SNDACCTNBR</t>
  </si>
  <si>
    <t>SNDACCTTX</t>
  </si>
  <si>
    <t>Row Labels</t>
  </si>
  <si>
    <t>(blank)</t>
  </si>
  <si>
    <t>Grand Total</t>
  </si>
  <si>
    <t>Count of TXNID</t>
  </si>
  <si>
    <t>Scenario</t>
  </si>
  <si>
    <t>Alert Hits</t>
  </si>
  <si>
    <t>Other_hit</t>
  </si>
  <si>
    <t>% Other Hit</t>
  </si>
  <si>
    <t xml:space="preserve">GB24HAND40516251223465            </t>
  </si>
  <si>
    <t xml:space="preserve">Chase ACC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</si>
  <si>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AWI trust tax 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</si>
  <si>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GB40HAND40516225024544            </t>
  </si>
  <si>
    <t xml:space="preserve">To Chase savings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</si>
  <si>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GB68HAND40516210545335            </t>
  </si>
  <si>
    <t xml:space="preserve">Revolut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</si>
  <si>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GB64HAND40516215918722            </t>
  </si>
  <si>
    <t>CBRLGB2LXXX</t>
  </si>
  <si>
    <t xml:space="preserve">Martin HD9 6NH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</si>
  <si>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GB73HAND40516286347641            </t>
  </si>
  <si>
    <t xml:space="preserve">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</si>
  <si>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GB67HAND40516254747962            </t>
  </si>
  <si>
    <t xml:space="preserve">LF 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</si>
  <si>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GB26HAND40516228562774            </t>
  </si>
  <si>
    <t xml:space="preserve">FL97624985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</si>
  <si>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GB77HAND40516220597283            </t>
  </si>
  <si>
    <t xml:space="preserve">Transfer HB to 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</si>
  <si>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GB15HAND40516215695922            </t>
  </si>
  <si>
    <t xml:space="preserve">Graham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</si>
  <si>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GB80HAND40516238756793            </t>
  </si>
  <si>
    <t xml:space="preserve">9311572407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</si>
  <si>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GB89HAND40516263895733            </t>
  </si>
  <si>
    <t xml:space="preserve">moira usher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</si>
  <si>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GB64HAND40516271571405            </t>
  </si>
  <si>
    <t xml:space="preserve">CURRENT ACCOUNT NO 1                              </t>
  </si>
  <si>
    <t xml:space="preserve">Marcus savings acc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</si>
  <si>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GB17HAND40516284008524            </t>
  </si>
  <si>
    <t xml:space="preserve">DENNE OT CURRENT ACCOUNT                          </t>
  </si>
  <si>
    <t xml:space="preserve">Savings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</si>
  <si>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GB16HAND40516230705102            </t>
  </si>
  <si>
    <t>NWBKGB2104S</t>
  </si>
  <si>
    <t xml:space="preserve">Anne Ward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</si>
  <si>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GB70HAND40516272017982            </t>
  </si>
  <si>
    <t xml:space="preserve">TVK 477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</si>
  <si>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GB37HAND40516218065042            </t>
  </si>
  <si>
    <t xml:space="preserve">Camilla Bourquin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</si>
  <si>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GB17HAND40516212615263            </t>
  </si>
  <si>
    <t xml:space="preserve">Sant HB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</si>
  <si>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GB69HAND40516213678514            </t>
  </si>
  <si>
    <t xml:space="preserve">Deposit 20 linden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</si>
  <si>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GB26HAND40516240759748            </t>
  </si>
  <si>
    <t xml:space="preserve">Deposit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</si>
  <si>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GB88HAND40516270182418            </t>
  </si>
  <si>
    <t xml:space="preserve">3 Aug TFR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</si>
  <si>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GB16HAND40516235260319            </t>
  </si>
  <si>
    <t xml:space="preserve">GB21HAND40516247379215            </t>
  </si>
  <si>
    <t>HOABGB2LXXX</t>
  </si>
  <si>
    <t xml:space="preserve">GB75HAND40516243001700            </t>
  </si>
  <si>
    <t xml:space="preserve">7066361907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</si>
  <si>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GB56HAND40516262161191            </t>
  </si>
  <si>
    <t xml:space="preserve">FLAT 17 THE GRANGE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</si>
  <si>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GB11HAND40516222592112            </t>
  </si>
  <si>
    <t xml:space="preserve">Jacob Monzo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</si>
  <si>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GB53HAND40516251234001            </t>
  </si>
  <si>
    <t xml:space="preserve">Lucy Nationwide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</si>
  <si>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GB95HAND40516238565627            </t>
  </si>
  <si>
    <t xml:space="preserve">JOINT DEPOSIT ACCOUNT                             </t>
  </si>
  <si>
    <t>ABNM RSK P HAmntDev OOH</t>
  </si>
  <si>
    <t xml:space="preserve">Trf to savings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</si>
  <si>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GB49HAND40516276240479            </t>
  </si>
  <si>
    <t>HBUKGB4104A</t>
  </si>
  <si>
    <t xml:space="preserve">AP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</si>
  <si>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GB69HAND40516217834867            </t>
  </si>
  <si>
    <t xml:space="preserve">FUNDS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</si>
  <si>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GB13HAND40516230631242            </t>
  </si>
  <si>
    <t xml:space="preserve">Hartland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</si>
  <si>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GB78HAND40516235771945            </t>
  </si>
  <si>
    <t>SRLGGB2LXXX</t>
  </si>
  <si>
    <t xml:space="preserve">INV-0844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</si>
  <si>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GB15HAND40516225968804            </t>
  </si>
  <si>
    <t xml:space="preserve">OFFSET ACCOUNT                                    </t>
  </si>
  <si>
    <t>NWBKGB2113S</t>
  </si>
  <si>
    <t xml:space="preserve">emmerson heritance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</si>
  <si>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GB96HAND40516263169562            </t>
  </si>
  <si>
    <t xml:space="preserve">SHC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</si>
  <si>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GB39HAND40516255068663            </t>
  </si>
  <si>
    <t>TRWIGB2LXXX</t>
  </si>
  <si>
    <t xml:space="preserve">HGMB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</si>
  <si>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GB89HAND40516235052201            </t>
  </si>
  <si>
    <t>NWBKGB2135J</t>
  </si>
  <si>
    <t xml:space="preserve">Loan PA AM Barratt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</si>
  <si>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GB20HAND40516224577928            </t>
  </si>
  <si>
    <t>FM01 K ABNM P 3</t>
  </si>
  <si>
    <t xml:space="preserve">FBO Zim Fam Trust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</si>
  <si>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GB65HAND40516246794580            </t>
  </si>
  <si>
    <t>LOYDGB21137</t>
  </si>
  <si>
    <t xml:space="preserve">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</si>
  <si>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GB90HAND40516238708986            </t>
  </si>
  <si>
    <t xml:space="preserve">House Gift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</si>
  <si>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GB32HAND40516252228338            </t>
  </si>
  <si>
    <t xml:space="preserve">GB62HAND40516249733637            </t>
  </si>
  <si>
    <t xml:space="preserve">James Mossman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</si>
  <si>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GB18HAND40516243010680            </t>
  </si>
  <si>
    <t xml:space="preserve">GB02HAND40516229567738            </t>
  </si>
  <si>
    <t xml:space="preserve">Test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</si>
  <si>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GB87HAND40516239324990            </t>
  </si>
  <si>
    <t xml:space="preserve">Chase from Handel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</si>
  <si>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GB73HAND40516268912279            </t>
  </si>
  <si>
    <t>NWBKGB2146C</t>
  </si>
  <si>
    <t xml:space="preserve">Gundy series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</si>
  <si>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GB90HAND40516212183269            </t>
  </si>
  <si>
    <t xml:space="preserve">SCHOOL FEES DEPOSIT ACCOUNT                     </t>
  </si>
  <si>
    <t xml:space="preserve">Project 539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</si>
  <si>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GB31HAND40516261671791            </t>
  </si>
  <si>
    <t xml:space="preserve">RESERVE CURRENT ACCOUNT                           </t>
  </si>
  <si>
    <t xml:space="preserve">GB31HAND40516249838082            </t>
  </si>
  <si>
    <t xml:space="preserve">Earn out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</si>
  <si>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GB68HAND40516278409348            </t>
  </si>
  <si>
    <t>BSCOGB2LXXX</t>
  </si>
  <si>
    <t xml:space="preserve">Gift Transfer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</si>
  <si>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GB31HAND40516225454319            </t>
  </si>
  <si>
    <t>HBUKGB4109N</t>
  </si>
  <si>
    <t xml:space="preserve">Error Repayment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</si>
  <si>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GB09HAND40516265333064            </t>
  </si>
  <si>
    <t>HBUKGB4197B</t>
  </si>
  <si>
    <t xml:space="preserve">HSBC global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</si>
  <si>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GB73HAND40516253755156            </t>
  </si>
  <si>
    <t xml:space="preserve">HB Deposit acc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</si>
  <si>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GB55HAND40516250317509            </t>
  </si>
  <si>
    <t xml:space="preserve">GB37HAND40516277924324            </t>
  </si>
  <si>
    <t>RBOSGB21059</t>
  </si>
  <si>
    <t xml:space="preserve">barratt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</si>
  <si>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GB04HAND40516289133171            </t>
  </si>
  <si>
    <t xml:space="preserve">M Magnay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</si>
  <si>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GB96HAND40516280521019            </t>
  </si>
  <si>
    <t xml:space="preserve">Judith Waring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</si>
  <si>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GB98HAND40516244746704            </t>
  </si>
  <si>
    <t xml:space="preserve">4.6 INTEREST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</si>
  <si>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GB77HAND40516220490971            </t>
  </si>
  <si>
    <t xml:space="preserve">equipment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</si>
  <si>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GB14HAND40516238374346            </t>
  </si>
  <si>
    <t>HBUKGB4108H</t>
  </si>
  <si>
    <t xml:space="preserve">Car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</si>
  <si>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GB86HAND40516236474469            </t>
  </si>
  <si>
    <t xml:space="preserve">JNT CUR ACCT NO2                                  </t>
  </si>
  <si>
    <t>HBUKGB4109M</t>
  </si>
  <si>
    <t xml:space="preserve">Grantchester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</si>
  <si>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GB49HAND40516228545967            </t>
  </si>
  <si>
    <t>custipidfr</t>
  </si>
  <si>
    <t>volume</t>
  </si>
  <si>
    <t>bene_volume</t>
  </si>
  <si>
    <t>value</t>
  </si>
  <si>
    <t>Missed-vol</t>
  </si>
  <si>
    <t>Detected (below min amount) -vol</t>
  </si>
  <si>
    <t>Detected - Released- vol</t>
  </si>
  <si>
    <t>Detected - Stopped- vol</t>
  </si>
  <si>
    <t>Missed</t>
  </si>
  <si>
    <t>Detected (below min amount)</t>
  </si>
  <si>
    <t>Detected - Released</t>
  </si>
  <si>
    <t>Detected - Stopped</t>
  </si>
  <si>
    <t>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</si>
</sst>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£&quot;* #,##0.00_-;\-&quot;£&quot;* #,##0.00_-;_-&quot;£&quot;* &quot;-&quot;??_-;_-@_-"/>
    <numFmt numFmtId="168" formatCode="_-&quot;£&quot;* #,##0_-;\-&quot;£&quot;* #,##0_-;_-&quot;£&quot;* &quot;-&quot;??_-;_-@_-"/>
    <numFmt numFmtId="171" formatCode="_-[$£-809]* #,##0_-;\-[$£-809]* #,##0_-;_-[$£-809]* &quot;-&quot;??_-;_-@_-"/>
  </numFmts>
  <fonts count="2" x14ac:knownFonts="1">
    <font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">
    <xf numFmtId="0" fontId="0" fillId="0" borderId="0" xfId="0"/>
    <xf numFmtId="4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14" fontId="0" fillId="0" borderId="1" xfId="0" applyNumberFormat="1" applyBorder="1"/>
    <xf numFmtId="9" fontId="0" fillId="0" borderId="1" xfId="1" applyFont="1" applyBorder="1"/>
    <xf numFmtId="9" fontId="0" fillId="0" borderId="0" xfId="0" applyNumberFormat="1"/>
    <xf numFmtId="168" fontId="0" fillId="0" borderId="1" xfId="2" applyNumberFormat="1" applyFont="1" applyBorder="1"/>
    <xf numFmtId="171" fontId="0" fillId="0" borderId="1" xfId="0" applyNumberFormat="1" applyBorder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olas Farmer" refreshedDate="46244.406793287038" createdVersion="8" refreshedVersion="8" minRefreshableVersion="3" recordCount="785" xr:uid="{DCF47751-4CB9-4769-8939-AB0718741BC7}">
  <cacheSource type="worksheet">
    <worksheetSource ref="A1:V1048576" sheet="Raw Alert Data"/>
  </cacheSource>
  <cacheFields count="22">
    <cacheField name="TXNID" numFmtId="0">
      <sharedItems containsString="0" containsBlank="1" containsNumber="1" containsInteger="1" minValue="41446618157" maxValue="41512058559"/>
    </cacheField>
    <cacheField name="cval" numFmtId="0">
      <sharedItems containsBlank="1"/>
    </cacheField>
    <cacheField name="Scenarios" numFmtId="0">
      <sharedItems containsBlank="1" count="29">
        <s v="ABNM PC CompAcc 1"/>
        <s v="ABNM PC CompAcc 2"/>
        <s v="ABNM PC CompAcc 3"/>
        <s v="ABNM PC CompAcc 4"/>
        <s v="ABNM RSK GEO"/>
        <s v="ABNM RSK P HAmntDev"/>
        <s v="ABNM RSK P HAmntDev (Test)"/>
        <s v="ABNM RSK P HAmntDev OOH"/>
        <s v="ABNM RSK PC AmntDev 1"/>
        <s v="ABNM RSK PC AmntDev CHPS"/>
        <s v="ABNM RSK PC D1"/>
        <s v="ABNM RSK PC NwPymMtd"/>
        <s v="ABNM RSK PC NwPymtMtd CHPS"/>
        <s v="FM01 K ABNM P 1"/>
        <s v="FM01 K ABNM P 3"/>
        <s v="RSK Backstop P"/>
        <s v="RSK NBG Limit P FP"/>
        <s v="RSK RED P BACKSTOP CrsBrd"/>
        <s v="RSK RED P CNBVOL 1"/>
        <s v="RSK RED P CVAL"/>
        <s v="RSK RED P CVOL"/>
        <s v="RSK RED P CVOL CVAL"/>
        <s v="RSK RED P NBG Limit FP"/>
        <s v="RSK RED P UHAMT"/>
        <s v="RSK RED P UVAL GEN"/>
        <s v="RSK RED P UVOL GEN"/>
        <m/>
        <s v="RSK PC HVOL HVAL" u="1"/>
        <s v="RSK RED P CVAL OOH" u="1"/>
      </sharedItems>
    </cacheField>
    <cacheField name="ID" numFmtId="0">
      <sharedItems containsString="0" containsBlank="1" containsNumber="1" containsInteger="1" minValue="41446618157" maxValue="41512058559"/>
    </cacheField>
    <cacheField name="EFFTMSTP" numFmtId="0">
      <sharedItems containsNonDate="0" containsDate="1" containsString="0" containsBlank="1" minDate="2026-07-01T06:39:17" maxDate="2026-08-09T20:01:52"/>
    </cacheField>
    <cacheField name="PYMTTP" numFmtId="0">
      <sharedItems containsString="0" containsBlank="1" containsNumber="1" containsInteger="1" minValue="69" maxValue="115"/>
    </cacheField>
    <cacheField name="IPTP" numFmtId="0">
      <sharedItems containsString="0" containsBlank="1" containsNumber="1" containsInteger="1" minValue="3" maxValue="3"/>
    </cacheField>
    <cacheField name="RECVACCTBIC" numFmtId="0">
      <sharedItems containsBlank="1"/>
    </cacheField>
    <cacheField name="RECVACCTISOCNTRYCD" numFmtId="0">
      <sharedItems containsBlank="1"/>
    </cacheField>
    <cacheField name="RECVACCTISOCURRCD" numFmtId="0">
      <sharedItems containsBlank="1"/>
    </cacheField>
    <cacheField name="RECVACCTNBR" numFmtId="0">
      <sharedItems containsBlank="1" containsMixedTypes="1" containsNumber="1" containsInteger="1" minValue="37257" maxValue="82132121340001"/>
    </cacheField>
    <cacheField name="RECVACCTNATBNKID" numFmtId="0">
      <sharedItems containsBlank="1" containsMixedTypes="1" containsNumber="1" containsInteger="1" minValue="10541" maxValue="980420"/>
    </cacheField>
    <cacheField name="MNTRINSTRAMT" numFmtId="0">
      <sharedItems containsString="0" containsBlank="1" containsNumber="1" minValue="9998.48" maxValue="3899990"/>
    </cacheField>
    <cacheField name="ISOCURRCODE" numFmtId="0">
      <sharedItems containsBlank="1"/>
    </cacheField>
    <cacheField name="AMT_BASE_CURR" numFmtId="0">
      <sharedItems containsString="0" containsBlank="1" containsNumber="1" minValue="128647.09" maxValue="50640745.969999999"/>
    </cacheField>
    <cacheField name="FREETX" numFmtId="0">
      <sharedItems containsBlank="1" longText="1"/>
    </cacheField>
    <cacheField name="TXNEXTSRCE" numFmtId="0">
      <sharedItems containsBlank="1"/>
    </cacheField>
    <cacheField name="CUSTIPIDFR" numFmtId="0">
      <sharedItems containsString="0" containsBlank="1" containsNumber="1" containsInteger="1" minValue="86816444" maxValue="148525652"/>
    </cacheField>
    <cacheField name="USERIPIDFR" numFmtId="0">
      <sharedItems containsString="0" containsBlank="1" containsNumber="1" containsInteger="1" minValue="86816444" maxValue="148822042"/>
    </cacheField>
    <cacheField name="SNDBYIPIDFR" numFmtId="0">
      <sharedItems containsString="0" containsBlank="1" containsNumber="1" containsInteger="1" minValue="86816444" maxValue="148525652"/>
    </cacheField>
    <cacheField name="SNDACCTNBR" numFmtId="0">
      <sharedItems containsBlank="1"/>
    </cacheField>
    <cacheField name="SNDACCTTX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5">
  <r>
    <n v="41461945768"/>
    <s v="C7 "/>
    <x v="0"/>
    <n v="41461945768"/>
    <d v="2026-07-10T11:39:02"/>
    <n v="115"/>
    <n v="3"/>
    <s v="NWBKGB2132V"/>
    <s v="GB"/>
    <s v="   "/>
    <n v="32639139"/>
    <n v="600111"/>
    <n v="28200"/>
    <s v="GBP"/>
    <n v="363935"/>
    <s v="c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9901054"/>
    <n v="129901054"/>
    <n v="129901054"/>
    <s v="GB81HAND40516228217919            "/>
    <s v="DEPOSIT ACCOUNT                                   "/>
  </r>
  <r>
    <n v="41463610727"/>
    <s v="C6 "/>
    <x v="0"/>
    <n v="41463610727"/>
    <d v="2026-07-11T12:10:37"/>
    <n v="115"/>
    <n v="3"/>
    <s v="HBUKGB4153L"/>
    <s v="GB"/>
    <s v="   "/>
    <n v="51396080"/>
    <n v="404031"/>
    <n v="95000"/>
    <s v="GBP"/>
    <n v="1226022.05"/>
    <s v="GIFT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6573514"/>
    <n v="146573514"/>
    <n v="146573514"/>
    <s v="GB84HAND40516234456032            "/>
    <s v="DEPOSIT ACCOUNT                                   "/>
  </r>
  <r>
    <n v="41463601364"/>
    <s v="C6 "/>
    <x v="0"/>
    <n v="41463601364"/>
    <d v="2026-07-11T12:06:15"/>
    <n v="115"/>
    <n v="3"/>
    <s v="HBUKGB4153L"/>
    <s v="GB"/>
    <s v="   "/>
    <n v="51396080"/>
    <n v="404031"/>
    <n v="100000"/>
    <s v="GBP"/>
    <n v="1290549.53"/>
    <s v="GIFT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6573514"/>
    <n v="146573514"/>
    <n v="146573514"/>
    <s v="GB84HAND40516234456032            "/>
    <s v="DEPOSIT ACCOUNT                                   "/>
  </r>
  <r>
    <n v="41463606609"/>
    <s v="C6 "/>
    <x v="0"/>
    <n v="41463606609"/>
    <d v="2026-07-11T12:08:46"/>
    <n v="115"/>
    <n v="3"/>
    <s v="NWBKGB2118W"/>
    <s v="GB"/>
    <s v="   "/>
    <n v="57317232"/>
    <n v="555010"/>
    <n v="100000"/>
    <s v="GBP"/>
    <n v="1290549.53"/>
    <s v="GIFT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6573514"/>
    <n v="146573514"/>
    <n v="146573514"/>
    <s v="GB84HAND40516234456032            "/>
    <s v="DEPOSIT ACCOUNT                                   "/>
  </r>
  <r>
    <n v="41463594320"/>
    <s v="C7 "/>
    <x v="0"/>
    <n v="41463594320"/>
    <d v="2026-07-11T12:03:03"/>
    <n v="115"/>
    <n v="3"/>
    <s v="NWBKGB2118W"/>
    <s v="GB"/>
    <s v="   "/>
    <n v="57317232"/>
    <n v="555010"/>
    <n v="100000"/>
    <s v="GBP"/>
    <n v="1290549.53"/>
    <s v="GIFT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6573514"/>
    <n v="146573514"/>
    <n v="146573514"/>
    <s v="GB84HAND40516234456032            "/>
    <s v="DEPOSIT ACCOUNT                                   "/>
  </r>
  <r>
    <n v="41482548652"/>
    <s v="C7 "/>
    <x v="0"/>
    <n v="41482548652"/>
    <d v="2026-07-23T11:49:38"/>
    <n v="115"/>
    <n v="3"/>
    <s v="BOFSGBS1CTL"/>
    <s v="GB"/>
    <s v="   "/>
    <n v="13139066"/>
    <n v="804887"/>
    <n v="90000"/>
    <s v="GBP"/>
    <n v="1168635.6399999999"/>
    <s v="HB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35198109"/>
    <n v="135198109"/>
    <n v="135198109"/>
    <s v="GB84HAND40516224516248            "/>
    <s v="DEPOSIT ACCOUNT                                   "/>
  </r>
  <r>
    <n v="41486216916"/>
    <s v="C6 "/>
    <x v="0"/>
    <n v="41486216916"/>
    <d v="2026-07-24T20:30:36"/>
    <n v="115"/>
    <n v="3"/>
    <s v="           "/>
    <s v="GB"/>
    <s v="   "/>
    <n v="26180505"/>
    <n v="608407"/>
    <n v="100000"/>
    <s v="GBP"/>
    <n v="1298483.98"/>
    <s v="CHA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86213067"/>
    <s v="C6 "/>
    <x v="0"/>
    <n v="41486213067"/>
    <d v="2026-07-24T20:28:04"/>
    <n v="115"/>
    <n v="3"/>
    <s v="           "/>
    <s v="GB"/>
    <s v="   "/>
    <n v="26180505"/>
    <n v="608407"/>
    <n v="100000"/>
    <s v="GBP"/>
    <n v="1298483.98"/>
    <s v="CHA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86220957"/>
    <s v="C6 "/>
    <x v="0"/>
    <n v="41486220957"/>
    <d v="2026-07-24T20:33:07"/>
    <n v="115"/>
    <n v="3"/>
    <s v="           "/>
    <s v="GB"/>
    <s v="   "/>
    <n v="26180505"/>
    <n v="608407"/>
    <n v="100000"/>
    <s v="GBP"/>
    <n v="1298483.98"/>
    <s v="Chase AC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86224304"/>
    <s v="C6 "/>
    <x v="0"/>
    <n v="41486224304"/>
    <d v="2026-07-24T20:35:21"/>
    <n v="115"/>
    <n v="3"/>
    <s v="           "/>
    <s v="GB"/>
    <s v="   "/>
    <n v="26180505"/>
    <n v="608407"/>
    <n v="100000"/>
    <s v="GBP"/>
    <n v="1298483.98"/>
    <s v="Chase AC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97065241"/>
    <s v="C7 "/>
    <x v="0"/>
    <n v="41497065241"/>
    <d v="2026-07-30T20:25:30"/>
    <n v="115"/>
    <n v="3"/>
    <s v="           "/>
    <s v="GB"/>
    <s v="   "/>
    <n v="73002616"/>
    <n v="206155"/>
    <n v="14644.06"/>
    <s v="GBP"/>
    <n v="190150.8"/>
    <s v="AWI trust tax 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7888564"/>
    <n v="125780189"/>
    <n v="147888564"/>
    <s v="GB40HAND40516225024544            "/>
    <s v="DEPOSIT ACCOUNT                                   "/>
  </r>
  <r>
    <n v="41461945768"/>
    <s v="C7 "/>
    <x v="1"/>
    <n v="41461945768"/>
    <d v="2026-07-10T11:39:02"/>
    <n v="115"/>
    <n v="3"/>
    <s v="NWBKGB2132V"/>
    <s v="GB"/>
    <s v="   "/>
    <n v="32639139"/>
    <n v="600111"/>
    <n v="28200"/>
    <s v="GBP"/>
    <n v="363935"/>
    <s v="c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9901054"/>
    <n v="129901054"/>
    <n v="129901054"/>
    <s v="GB81HAND40516228217919            "/>
    <s v="DEPOSIT ACCOUNT                                   "/>
  </r>
  <r>
    <n v="41463601364"/>
    <s v="C6 "/>
    <x v="1"/>
    <n v="41463601364"/>
    <d v="2026-07-11T12:06:15"/>
    <n v="115"/>
    <n v="3"/>
    <s v="HBUKGB4153L"/>
    <s v="GB"/>
    <s v="   "/>
    <n v="51396080"/>
    <n v="404031"/>
    <n v="100000"/>
    <s v="GBP"/>
    <n v="1290549.53"/>
    <s v="GIFT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6573514"/>
    <n v="146573514"/>
    <n v="146573514"/>
    <s v="GB84HAND40516234456032            "/>
    <s v="DEPOSIT ACCOUNT                                   "/>
  </r>
  <r>
    <n v="41463594320"/>
    <s v="C7 "/>
    <x v="1"/>
    <n v="41463594320"/>
    <d v="2026-07-11T12:03:03"/>
    <n v="115"/>
    <n v="3"/>
    <s v="NWBKGB2118W"/>
    <s v="GB"/>
    <s v="   "/>
    <n v="57317232"/>
    <n v="555010"/>
    <n v="100000"/>
    <s v="GBP"/>
    <n v="1290549.53"/>
    <s v="GIFT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6573514"/>
    <n v="146573514"/>
    <n v="146573514"/>
    <s v="GB84HAND40516234456032            "/>
    <s v="DEPOSIT ACCOUNT                                   "/>
  </r>
  <r>
    <n v="41463610727"/>
    <s v="C6 "/>
    <x v="1"/>
    <n v="41463610727"/>
    <d v="2026-07-11T12:10:37"/>
    <n v="115"/>
    <n v="3"/>
    <s v="HBUKGB4153L"/>
    <s v="GB"/>
    <s v="   "/>
    <n v="51396080"/>
    <n v="404031"/>
    <n v="95000"/>
    <s v="GBP"/>
    <n v="1226022.05"/>
    <s v="GIFT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6573514"/>
    <n v="146573514"/>
    <n v="146573514"/>
    <s v="GB84HAND40516234456032            "/>
    <s v="DEPOSIT ACCOUNT                                   "/>
  </r>
  <r>
    <n v="41463606609"/>
    <s v="C6 "/>
    <x v="1"/>
    <n v="41463606609"/>
    <d v="2026-07-11T12:08:46"/>
    <n v="115"/>
    <n v="3"/>
    <s v="NWBKGB2118W"/>
    <s v="GB"/>
    <s v="   "/>
    <n v="57317232"/>
    <n v="555010"/>
    <n v="100000"/>
    <s v="GBP"/>
    <n v="1290549.53"/>
    <s v="GIFT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6573514"/>
    <n v="146573514"/>
    <n v="146573514"/>
    <s v="GB84HAND40516234456032            "/>
    <s v="DEPOSIT ACCOUNT                                   "/>
  </r>
  <r>
    <n v="41482548652"/>
    <s v="C7 "/>
    <x v="1"/>
    <n v="41482548652"/>
    <d v="2026-07-23T11:49:38"/>
    <n v="115"/>
    <n v="3"/>
    <s v="BOFSGBS1CTL"/>
    <s v="GB"/>
    <s v="   "/>
    <n v="13139066"/>
    <n v="804887"/>
    <n v="90000"/>
    <s v="GBP"/>
    <n v="1168635.6399999999"/>
    <s v="HB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35198109"/>
    <n v="135198109"/>
    <n v="135198109"/>
    <s v="GB84HAND40516224516248            "/>
    <s v="DEPOSIT ACCOUNT                                   "/>
  </r>
  <r>
    <n v="41486213067"/>
    <s v="C6 "/>
    <x v="1"/>
    <n v="41486213067"/>
    <d v="2026-07-24T20:28:04"/>
    <n v="115"/>
    <n v="3"/>
    <s v="           "/>
    <s v="GB"/>
    <s v="   "/>
    <n v="26180505"/>
    <n v="608407"/>
    <n v="100000"/>
    <s v="GBP"/>
    <n v="1298483.98"/>
    <s v="CHA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86216916"/>
    <s v="C6 "/>
    <x v="1"/>
    <n v="41486216916"/>
    <d v="2026-07-24T20:30:36"/>
    <n v="115"/>
    <n v="3"/>
    <s v="           "/>
    <s v="GB"/>
    <s v="   "/>
    <n v="26180505"/>
    <n v="608407"/>
    <n v="100000"/>
    <s v="GBP"/>
    <n v="1298483.98"/>
    <s v="CHA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86224304"/>
    <s v="C6 "/>
    <x v="1"/>
    <n v="41486224304"/>
    <d v="2026-07-24T20:35:21"/>
    <n v="115"/>
    <n v="3"/>
    <s v="           "/>
    <s v="GB"/>
    <s v="   "/>
    <n v="26180505"/>
    <n v="608407"/>
    <n v="100000"/>
    <s v="GBP"/>
    <n v="1298483.98"/>
    <s v="Chase AC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86220957"/>
    <s v="C6 "/>
    <x v="1"/>
    <n v="41486220957"/>
    <d v="2026-07-24T20:33:07"/>
    <n v="115"/>
    <n v="3"/>
    <s v="           "/>
    <s v="GB"/>
    <s v="   "/>
    <n v="26180505"/>
    <n v="608407"/>
    <n v="100000"/>
    <s v="GBP"/>
    <n v="1298483.98"/>
    <s v="Chase AC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97065241"/>
    <s v="C7 "/>
    <x v="1"/>
    <n v="41497065241"/>
    <d v="2026-07-30T20:25:30"/>
    <n v="115"/>
    <n v="3"/>
    <s v="           "/>
    <s v="GB"/>
    <s v="   "/>
    <n v="73002616"/>
    <n v="206155"/>
    <n v="14644.06"/>
    <s v="GBP"/>
    <n v="190150.8"/>
    <s v="AWI trust tax 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7888564"/>
    <n v="125780189"/>
    <n v="147888564"/>
    <s v="GB40HAND40516225024544            "/>
    <s v="DEPOSIT ACCOUNT                                   "/>
  </r>
  <r>
    <n v="41461945768"/>
    <s v="C7 "/>
    <x v="2"/>
    <n v="41461945768"/>
    <d v="2026-07-10T11:39:02"/>
    <n v="115"/>
    <n v="3"/>
    <s v="NWBKGB2132V"/>
    <s v="GB"/>
    <s v="   "/>
    <n v="32639139"/>
    <n v="600111"/>
    <n v="28200"/>
    <s v="GBP"/>
    <n v="363935"/>
    <s v="c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9901054"/>
    <n v="129901054"/>
    <n v="129901054"/>
    <s v="GB81HAND40516228217919            "/>
    <s v="DEPOSIT ACCOUNT                                   "/>
  </r>
  <r>
    <n v="41463601364"/>
    <s v="C6 "/>
    <x v="2"/>
    <n v="41463601364"/>
    <d v="2026-07-11T12:06:15"/>
    <n v="115"/>
    <n v="3"/>
    <s v="HBUKGB4153L"/>
    <s v="GB"/>
    <s v="   "/>
    <n v="51396080"/>
    <n v="404031"/>
    <n v="100000"/>
    <s v="GBP"/>
    <n v="1290549.53"/>
    <s v="GIFT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6573514"/>
    <n v="146573514"/>
    <n v="146573514"/>
    <s v="GB84HAND40516234456032            "/>
    <s v="DEPOSIT ACCOUNT                                   "/>
  </r>
  <r>
    <n v="41463606609"/>
    <s v="C6 "/>
    <x v="2"/>
    <n v="41463606609"/>
    <d v="2026-07-11T12:08:46"/>
    <n v="115"/>
    <n v="3"/>
    <s v="NWBKGB2118W"/>
    <s v="GB"/>
    <s v="   "/>
    <n v="57317232"/>
    <n v="555010"/>
    <n v="100000"/>
    <s v="GBP"/>
    <n v="1290549.53"/>
    <s v="GIFT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6573514"/>
    <n v="146573514"/>
    <n v="146573514"/>
    <s v="GB84HAND40516234456032            "/>
    <s v="DEPOSIT ACCOUNT                                   "/>
  </r>
  <r>
    <n v="41463610727"/>
    <s v="C6 "/>
    <x v="2"/>
    <n v="41463610727"/>
    <d v="2026-07-11T12:10:37"/>
    <n v="115"/>
    <n v="3"/>
    <s v="HBUKGB4153L"/>
    <s v="GB"/>
    <s v="   "/>
    <n v="51396080"/>
    <n v="404031"/>
    <n v="95000"/>
    <s v="GBP"/>
    <n v="1226022.05"/>
    <s v="GIFT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6573514"/>
    <n v="146573514"/>
    <n v="146573514"/>
    <s v="GB84HAND40516234456032            "/>
    <s v="DEPOSIT ACCOUNT                                   "/>
  </r>
  <r>
    <n v="41463594320"/>
    <s v="C7 "/>
    <x v="2"/>
    <n v="41463594320"/>
    <d v="2026-07-11T12:03:03"/>
    <n v="115"/>
    <n v="3"/>
    <s v="NWBKGB2118W"/>
    <s v="GB"/>
    <s v="   "/>
    <n v="57317232"/>
    <n v="555010"/>
    <n v="100000"/>
    <s v="GBP"/>
    <n v="1290549.53"/>
    <s v="GIFT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6573514"/>
    <n v="146573514"/>
    <n v="146573514"/>
    <s v="GB84HAND40516234456032            "/>
    <s v="DEPOSIT ACCOUNT                                   "/>
  </r>
  <r>
    <n v="41482548652"/>
    <s v="C7 "/>
    <x v="2"/>
    <n v="41482548652"/>
    <d v="2026-07-23T11:49:38"/>
    <n v="115"/>
    <n v="3"/>
    <s v="BOFSGBS1CTL"/>
    <s v="GB"/>
    <s v="   "/>
    <n v="13139066"/>
    <n v="804887"/>
    <n v="90000"/>
    <s v="GBP"/>
    <n v="1168635.6399999999"/>
    <s v="HB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35198109"/>
    <n v="135198109"/>
    <n v="135198109"/>
    <s v="GB84HAND40516224516248            "/>
    <s v="DEPOSIT ACCOUNT                                   "/>
  </r>
  <r>
    <n v="41486216916"/>
    <s v="C6 "/>
    <x v="2"/>
    <n v="41486216916"/>
    <d v="2026-07-24T20:30:36"/>
    <n v="115"/>
    <n v="3"/>
    <s v="           "/>
    <s v="GB"/>
    <s v="   "/>
    <n v="26180505"/>
    <n v="608407"/>
    <n v="100000"/>
    <s v="GBP"/>
    <n v="1298483.98"/>
    <s v="CHA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86224304"/>
    <s v="C6 "/>
    <x v="2"/>
    <n v="41486224304"/>
    <d v="2026-07-24T20:35:21"/>
    <n v="115"/>
    <n v="3"/>
    <s v="           "/>
    <s v="GB"/>
    <s v="   "/>
    <n v="26180505"/>
    <n v="608407"/>
    <n v="100000"/>
    <s v="GBP"/>
    <n v="1298483.98"/>
    <s v="Chase AC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86220957"/>
    <s v="C6 "/>
    <x v="2"/>
    <n v="41486220957"/>
    <d v="2026-07-24T20:33:07"/>
    <n v="115"/>
    <n v="3"/>
    <s v="           "/>
    <s v="GB"/>
    <s v="   "/>
    <n v="26180505"/>
    <n v="608407"/>
    <n v="100000"/>
    <s v="GBP"/>
    <n v="1298483.98"/>
    <s v="Chase AC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86213067"/>
    <s v="C6 "/>
    <x v="2"/>
    <n v="41486213067"/>
    <d v="2026-07-24T20:28:04"/>
    <n v="115"/>
    <n v="3"/>
    <s v="           "/>
    <s v="GB"/>
    <s v="   "/>
    <n v="26180505"/>
    <n v="608407"/>
    <n v="100000"/>
    <s v="GBP"/>
    <n v="1298483.98"/>
    <s v="CHA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97065241"/>
    <s v="C7 "/>
    <x v="2"/>
    <n v="41497065241"/>
    <d v="2026-07-30T20:25:30"/>
    <n v="115"/>
    <n v="3"/>
    <s v="           "/>
    <s v="GB"/>
    <s v="   "/>
    <n v="73002616"/>
    <n v="206155"/>
    <n v="14644.06"/>
    <s v="GBP"/>
    <n v="190150.8"/>
    <s v="AWI trust tax 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7888564"/>
    <n v="125780189"/>
    <n v="147888564"/>
    <s v="GB40HAND40516225024544            "/>
    <s v="DEPOSIT ACCOUNT                                   "/>
  </r>
  <r>
    <n v="41447499790"/>
    <s v="C6 "/>
    <x v="3"/>
    <n v="41447499790"/>
    <d v="2026-07-01T14:51:00"/>
    <n v="115"/>
    <n v="3"/>
    <s v="BCYPGB2LXXX"/>
    <s v="GB"/>
    <s v="   "/>
    <n v="23901216"/>
    <n v="406377"/>
    <n v="61286.07"/>
    <s v="GBP"/>
    <n v="788427.31"/>
    <s v="Cyn2Y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9309359"/>
    <n v="119309359"/>
    <n v="119309359"/>
    <s v="GB74HAND40516260527581            "/>
    <s v="CURRENT ACCOUNT                                   "/>
  </r>
  <r>
    <n v="41447338345"/>
    <s v="C6 "/>
    <x v="3"/>
    <n v="41447338345"/>
    <d v="2026-07-01T13:37:00"/>
    <n v="115"/>
    <n v="3"/>
    <s v="           "/>
    <s v="GB"/>
    <s v="   "/>
    <n v="42272574"/>
    <n v="406437"/>
    <n v="30143.03"/>
    <s v="GBP"/>
    <n v="387781.2"/>
    <s v="MarcusJJ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9309359"/>
    <n v="119309359"/>
    <n v="119309359"/>
    <s v="GB74HAND40516260527581            "/>
    <s v="CURRENT ACCOUNT                                   "/>
  </r>
  <r>
    <n v="41447336274"/>
    <s v="C6 "/>
    <x v="3"/>
    <n v="41447336274"/>
    <d v="2026-07-01T13:35:58"/>
    <n v="115"/>
    <n v="3"/>
    <s v="           "/>
    <s v="GB"/>
    <s v="   "/>
    <n v="81595468"/>
    <n v="406437"/>
    <n v="30143.01"/>
    <s v="GBP"/>
    <n v="387781.01"/>
    <s v="MarcusCJ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9309359"/>
    <n v="119309359"/>
    <n v="119309359"/>
    <s v="GB74HAND40516260527581            "/>
    <s v="CURRENT ACCOUNT                                   "/>
  </r>
  <r>
    <n v="41458638970"/>
    <s v="C7 "/>
    <x v="3"/>
    <n v="41458638970"/>
    <d v="2026-07-08T12:00:14"/>
    <n v="115"/>
    <n v="3"/>
    <s v="           "/>
    <s v="GB"/>
    <s v="   "/>
    <n v="61949425"/>
    <n v="406437"/>
    <n v="49990"/>
    <s v="GBP"/>
    <n v="645145.71"/>
    <s v="RAP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8924208"/>
    <n v="118924208"/>
    <n v="118924208"/>
    <s v="GB59HAND40516276826373            "/>
    <s v="CURRENT ACCOUNT                                   "/>
  </r>
  <r>
    <n v="41483254891"/>
    <s v="C7 "/>
    <x v="3"/>
    <n v="41483254891"/>
    <d v="2026-07-23T17:32:42"/>
    <n v="115"/>
    <n v="3"/>
    <s v="           "/>
    <s v="GB"/>
    <s v="   "/>
    <n v="73114139"/>
    <n v="406437"/>
    <n v="100000"/>
    <s v="GBP"/>
    <n v="1298483.98"/>
    <s v="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9228773"/>
    <n v="119228773"/>
    <n v="119228773"/>
    <s v="GB89HAND40516214461623            "/>
    <s v="DEPOSIT ACCOUNT                                   "/>
  </r>
  <r>
    <n v="41483063386"/>
    <s v="C6 "/>
    <x v="3"/>
    <n v="41483063386"/>
    <d v="2026-07-23T15:53:26"/>
    <n v="115"/>
    <n v="3"/>
    <s v="           "/>
    <s v="GB"/>
    <s v="   "/>
    <n v="83372888"/>
    <n v="608407"/>
    <n v="80000"/>
    <s v="GBP"/>
    <n v="1038787.21"/>
    <s v="TVR payment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2720485"/>
    <n v="122720485"/>
    <n v="122720485"/>
    <s v="GB47HAND40516224759996            "/>
    <s v="CURRENT ACCOUNT                                   "/>
  </r>
  <r>
    <n v="41493575842"/>
    <s v="C7 "/>
    <x v="3"/>
    <n v="41493575842"/>
    <d v="2026-07-28T21:12:50"/>
    <n v="115"/>
    <n v="3"/>
    <s v="           "/>
    <s v="GB"/>
    <s v="   "/>
    <n v="13117510"/>
    <n v="608407"/>
    <n v="100000"/>
    <s v="GBP"/>
    <n v="1298483.98"/>
    <s v="To Chase saving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9625572"/>
    <n v="119625572"/>
    <n v="119625572"/>
    <s v="GB68HAND40516210545335            "/>
    <s v="CURRENT ACCOUNT                                   "/>
  </r>
  <r>
    <n v="41494751270"/>
    <s v="C7 "/>
    <x v="3"/>
    <n v="41494751270"/>
    <d v="2026-07-29T14:01:23"/>
    <n v="115"/>
    <n v="3"/>
    <s v="           "/>
    <s v="GB"/>
    <s v="   "/>
    <n v="89260625"/>
    <n v="230120"/>
    <n v="75000"/>
    <s v="GBP"/>
    <n v="973862.99"/>
    <s v="Revolu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0818184"/>
    <n v="110818184"/>
    <n v="110818184"/>
    <s v="GB64HAND40516215918722            "/>
    <s v="DEPOSIT ACCOUNT                                   "/>
  </r>
  <r>
    <n v="41494217700"/>
    <s v="C7 "/>
    <x v="3"/>
    <n v="41494217700"/>
    <d v="2026-07-29T09:20:07"/>
    <n v="115"/>
    <n v="3"/>
    <s v="           "/>
    <s v="GB"/>
    <s v="   "/>
    <n v="89260625"/>
    <n v="230120"/>
    <n v="75000"/>
    <s v="GBP"/>
    <n v="973862.99"/>
    <s v="Revolu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0818184"/>
    <n v="110818184"/>
    <n v="110818184"/>
    <s v="GB64HAND40516215918722            "/>
    <s v="DEPOSIT ACCOUNT                                   "/>
  </r>
  <r>
    <n v="41504465001"/>
    <s v="C7 "/>
    <x v="3"/>
    <n v="41504465001"/>
    <d v="2026-08-04T17:21:38"/>
    <n v="115"/>
    <n v="3"/>
    <s v="CBRLGB2LXXX"/>
    <s v="GB"/>
    <s v="   "/>
    <n v="12571423"/>
    <n v="165187"/>
    <n v="100000"/>
    <s v="GBP"/>
    <n v="1298483.98"/>
    <s v="Martin HD9 6N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4115159"/>
    <n v="104115159"/>
    <n v="104115159"/>
    <s v="GB73HAND40516286347641            "/>
    <s v="CURRENT ACCOUNT                                   "/>
  </r>
  <r>
    <n v="41507542452"/>
    <s v="C6 "/>
    <x v="3"/>
    <n v="41507542452"/>
    <d v="2026-08-06T17:22:33"/>
    <n v="115"/>
    <n v="3"/>
    <s v="           "/>
    <s v="GB"/>
    <s v="   "/>
    <n v="83770192"/>
    <n v="203964"/>
    <n v="99000"/>
    <s v="GBP"/>
    <n v="1285499.1399999999"/>
    <s v="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1831293"/>
    <n v="111831293"/>
    <n v="111831293"/>
    <s v="GB67HAND40516254747962            "/>
    <s v="CURRENT ACCOUNT                                   "/>
  </r>
  <r>
    <n v="41508569084"/>
    <s v="C7 "/>
    <x v="3"/>
    <n v="41508569084"/>
    <d v="2026-08-07T12:36:17"/>
    <n v="115"/>
    <n v="3"/>
    <s v="           "/>
    <s v="GB"/>
    <s v="   "/>
    <n v="90673684"/>
    <n v="204451"/>
    <n v="49999"/>
    <s v="GBP"/>
    <n v="649229.06000000006"/>
    <s v="LF 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5002978"/>
    <n v="145002978"/>
    <n v="145002978"/>
    <s v="GB26HAND40516228562774            "/>
    <s v="CURRENT ACCOUNT                                   "/>
  </r>
  <r>
    <n v="41447338345"/>
    <s v="C6 "/>
    <x v="4"/>
    <n v="41447338345"/>
    <d v="2026-07-01T13:37:00"/>
    <n v="115"/>
    <n v="3"/>
    <s v="           "/>
    <s v="GB"/>
    <s v="   "/>
    <n v="42272574"/>
    <n v="406437"/>
    <n v="30143.03"/>
    <s v="GBP"/>
    <n v="387781.2"/>
    <s v="MarcusJJ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9309359"/>
    <n v="119309359"/>
    <n v="119309359"/>
    <s v="GB74HAND40516260527581            "/>
    <s v="CURRENT ACCOUNT                                   "/>
  </r>
  <r>
    <n v="41447336274"/>
    <s v="C6 "/>
    <x v="4"/>
    <n v="41447336274"/>
    <d v="2026-07-01T13:35:58"/>
    <n v="115"/>
    <n v="3"/>
    <s v="           "/>
    <s v="GB"/>
    <s v="   "/>
    <n v="81595468"/>
    <n v="406437"/>
    <n v="30143.01"/>
    <s v="GBP"/>
    <n v="387781.01"/>
    <s v="MarcusCJ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9309359"/>
    <n v="119309359"/>
    <n v="119309359"/>
    <s v="GB74HAND40516260527581            "/>
    <s v="CURRENT ACCOUNT                                   "/>
  </r>
  <r>
    <n v="41502622988"/>
    <s v="C7 "/>
    <x v="4"/>
    <n v="41502622988"/>
    <d v="2026-08-03T15:09:14"/>
    <n v="69"/>
    <n v="3"/>
    <s v="MIDLGB2196K"/>
    <s v="GB"/>
    <s v="   "/>
    <n v="9017860"/>
    <n v="403232"/>
    <n v="500000"/>
    <s v="GBP"/>
    <n v="6492420.0099999998"/>
    <s v="FL9762498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8407818"/>
    <n v="108407818"/>
    <n v="108407818"/>
    <s v="GB77HAND40516220597283            "/>
    <s v="CURRENT ACCOUNT                                   "/>
  </r>
  <r>
    <n v="41507542452"/>
    <s v="C6 "/>
    <x v="4"/>
    <n v="41507542452"/>
    <d v="2026-08-06T17:22:33"/>
    <n v="115"/>
    <n v="3"/>
    <s v="           "/>
    <s v="GB"/>
    <s v="   "/>
    <n v="83770192"/>
    <n v="203964"/>
    <n v="99000"/>
    <s v="GBP"/>
    <n v="1285499.1399999999"/>
    <s v="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1831293"/>
    <n v="111831293"/>
    <n v="111831293"/>
    <s v="GB67HAND40516254747962            "/>
    <s v="CURRENT ACCOUNT                                   "/>
  </r>
  <r>
    <n v="41447927653"/>
    <s v="C7 "/>
    <x v="5"/>
    <n v="41447927653"/>
    <d v="2026-07-01T18:13:36"/>
    <n v="115"/>
    <n v="3"/>
    <s v="           "/>
    <s v="GB"/>
    <s v="   "/>
    <n v="56183501"/>
    <n v="600155"/>
    <n v="100000"/>
    <s v="GBP"/>
    <n v="1286470.56"/>
    <s v="MR MARK WATS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3570774"/>
    <n v="113570774"/>
    <n v="113570774"/>
    <s v="GB43HAND40516263930414            "/>
    <s v="DEPOSIT ACCOUNT NO 2                              "/>
  </r>
  <r>
    <n v="41447679199"/>
    <s v="C7 "/>
    <x v="5"/>
    <n v="41447679199"/>
    <d v="2026-07-01T16:13:02"/>
    <n v="115"/>
    <n v="3"/>
    <s v="           "/>
    <s v="GB"/>
    <s v="   "/>
    <n v="9204083"/>
    <n v="40075"/>
    <n v="50000"/>
    <s v="GBP"/>
    <n v="643235.32999999996"/>
    <s v="Tfr Hdlsb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2592674"/>
    <n v="142592674"/>
    <n v="142592674"/>
    <s v="GB31HAND40516237199079            "/>
    <s v="DEPOSIT ACCOUNT                                   "/>
  </r>
  <r>
    <n v="41447332030"/>
    <s v="C7 "/>
    <x v="5"/>
    <n v="41447332030"/>
    <d v="2026-07-01T13:33:53"/>
    <n v="115"/>
    <n v="3"/>
    <s v="           "/>
    <s v="GB"/>
    <s v="   "/>
    <n v="9204083"/>
    <n v="40075"/>
    <n v="50000"/>
    <s v="GBP"/>
    <n v="643235.32999999996"/>
    <s v="Tfr Hdlsb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2592674"/>
    <n v="142592674"/>
    <n v="142592674"/>
    <s v="GB31HAND40516237199079            "/>
    <s v="DEPOSIT ACCOUNT                                   "/>
  </r>
  <r>
    <n v="41446618157"/>
    <s v="C7 "/>
    <x v="5"/>
    <n v="41446618157"/>
    <d v="2026-07-01T06:39:17"/>
    <n v="115"/>
    <n v="3"/>
    <s v="           "/>
    <s v="GB"/>
    <s v="   "/>
    <n v="10779032"/>
    <n v="201854"/>
    <n v="50000"/>
    <s v="GBP"/>
    <n v="643235.32999999996"/>
    <s v="Tfr Hbnk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2592674"/>
    <n v="142592674"/>
    <n v="142592674"/>
    <s v="GB31HAND40516237199079            "/>
    <s v="DEPOSIT ACCOUNT                                   "/>
  </r>
  <r>
    <n v="41449900442"/>
    <s v="C7 "/>
    <x v="5"/>
    <n v="41449900442"/>
    <d v="2026-07-02T19:46:20"/>
    <n v="115"/>
    <n v="3"/>
    <s v="           "/>
    <s v="GB"/>
    <s v="   "/>
    <n v="50604895"/>
    <n v="204673"/>
    <n v="25000"/>
    <s v="GBP"/>
    <n v="322637.40999999997"/>
    <s v="klander hande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8159213"/>
    <n v="148159213"/>
    <n v="148159213"/>
    <s v="GB28HAND40516224592140            "/>
    <s v="CURRENT ACCOUNT                                   "/>
  </r>
  <r>
    <n v="41449578507"/>
    <s v="C7 "/>
    <x v="5"/>
    <n v="41449578507"/>
    <d v="2026-07-02T16:50:44"/>
    <n v="115"/>
    <n v="3"/>
    <s v="           "/>
    <s v="GB"/>
    <s v="   "/>
    <n v="61658919"/>
    <n v="406437"/>
    <n v="90000"/>
    <s v="GBP"/>
    <n v="1161494.57"/>
    <s v="Vi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86816444"/>
    <n v="86816444"/>
    <n v="86816444"/>
    <s v="GB35HAND40516249169001            "/>
    <s v="CURRENT ACCOUNT                                   "/>
  </r>
  <r>
    <n v="41451779027"/>
    <s v="C7 "/>
    <x v="5"/>
    <n v="41451779027"/>
    <d v="2026-07-03T20:30:14"/>
    <n v="115"/>
    <n v="3"/>
    <s v="           "/>
    <s v="GB"/>
    <s v="   "/>
    <n v="20881107"/>
    <n v="236247"/>
    <n v="100000"/>
    <s v="GBP"/>
    <n v="1290549.53"/>
    <s v="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7621456"/>
    <n v="127621456"/>
    <n v="127621456"/>
    <s v="GB86HAND40516239994890            "/>
    <s v="CURRENT ACCOUNT                                   "/>
  </r>
  <r>
    <n v="41451347753"/>
    <s v="C6 "/>
    <x v="5"/>
    <n v="41451347753"/>
    <d v="2026-07-03T16:20:08"/>
    <n v="115"/>
    <n v="3"/>
    <s v="           "/>
    <s v="GB"/>
    <s v="   "/>
    <n v="16281625"/>
    <n v="608407"/>
    <n v="100000"/>
    <s v="GBP"/>
    <n v="1290549.53"/>
    <s v="depo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533080"/>
    <n v="128533080"/>
    <n v="128533080"/>
    <s v="GB42HAND40516287347008            "/>
    <s v="CURRENT ACCOUNT MORTGAGE                          "/>
  </r>
  <r>
    <n v="41451344908"/>
    <s v="C7 "/>
    <x v="5"/>
    <n v="41451344908"/>
    <d v="2026-07-03T16:18:56"/>
    <n v="115"/>
    <n v="3"/>
    <s v="           "/>
    <s v="GB"/>
    <s v="   "/>
    <n v="16281625"/>
    <n v="608407"/>
    <n v="100000"/>
    <s v="GBP"/>
    <n v="1290549.53"/>
    <s v="depo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533080"/>
    <n v="128533080"/>
    <n v="128533080"/>
    <s v="GB42HAND40516287347008            "/>
    <s v="CURRENT ACCOUNT MORTGAGE                          "/>
  </r>
  <r>
    <n v="41451349515"/>
    <s v="C6 "/>
    <x v="5"/>
    <n v="41451349515"/>
    <d v="2026-07-03T16:20:59"/>
    <n v="115"/>
    <n v="3"/>
    <s v="           "/>
    <s v="GB"/>
    <s v="   "/>
    <n v="16281625"/>
    <n v="608407"/>
    <n v="50000"/>
    <s v="GBP"/>
    <n v="645274.81999999995"/>
    <s v="depo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533080"/>
    <n v="128533080"/>
    <n v="128533080"/>
    <s v="GB42HAND40516287347008            "/>
    <s v="CURRENT ACCOUNT MORTGAGE                          "/>
  </r>
  <r>
    <n v="41451187210"/>
    <s v="C7 "/>
    <x v="5"/>
    <n v="41451187210"/>
    <d v="2026-07-03T15:07:54"/>
    <n v="115"/>
    <n v="3"/>
    <s v="           "/>
    <s v="GB"/>
    <s v="   "/>
    <n v="37257"/>
    <n v="309904"/>
    <n v="20000"/>
    <s v="GBP"/>
    <n v="258109.93"/>
    <s v=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47561047"/>
    <n v="147561047"/>
    <n v="147561047"/>
    <s v="GB45HAND40516238321020            "/>
    <s v="CURRENT ACCOUNT                                   "/>
  </r>
  <r>
    <n v="41451241623"/>
    <s v="C7 "/>
    <x v="5"/>
    <n v="41451241623"/>
    <d v="2026-07-03T15:32:24"/>
    <n v="115"/>
    <n v="3"/>
    <s v="           "/>
    <s v="GB"/>
    <s v="   "/>
    <n v="16281625"/>
    <n v="608407"/>
    <n v="100000"/>
    <s v="GBP"/>
    <n v="1290549.53"/>
    <s v="depo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533080"/>
    <n v="128533080"/>
    <n v="128533080"/>
    <s v="GB42HAND40516287347008            "/>
    <s v="CURRENT ACCOUNT MORTGAGE                          "/>
  </r>
  <r>
    <n v="41451007506"/>
    <s v="C7 "/>
    <x v="5"/>
    <n v="41451007506"/>
    <d v="2026-07-03T13:50:01"/>
    <n v="115"/>
    <n v="3"/>
    <s v="HBUKGB4144M"/>
    <s v="GB"/>
    <s v="   "/>
    <n v="81392166"/>
    <n v="403108"/>
    <n v="20000"/>
    <s v="GBP"/>
    <n v="258109.93"/>
    <s v="Pikes Peak pai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10038171"/>
    <n v="110038171"/>
    <n v="110038171"/>
    <s v="GB47HAND40516246151794            "/>
    <s v="CURRENT ACCOUNT                                   "/>
  </r>
  <r>
    <n v="41450490464"/>
    <s v="C7 "/>
    <x v="5"/>
    <n v="41450490464"/>
    <d v="2026-07-03T09:55:04"/>
    <n v="115"/>
    <n v="3"/>
    <s v="SMIWGB2LXXX"/>
    <s v="GB"/>
    <s v="   "/>
    <n v="54606"/>
    <n v="165760"/>
    <n v="100000"/>
    <s v="GBP"/>
    <n v="1290549.53"/>
    <s v="Polly Evelyn Gif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2909595"/>
    <n v="102909595"/>
    <n v="102909595"/>
    <s v="GB59HAND40516222636256            "/>
    <s v="CURRENT ACCOUNT                                   "/>
  </r>
  <r>
    <n v="41450493081"/>
    <s v="C7 "/>
    <x v="5"/>
    <n v="41450493081"/>
    <d v="2026-07-03T09:56:46"/>
    <n v="115"/>
    <n v="3"/>
    <s v="SMIWGB2LXXX"/>
    <s v="GB"/>
    <s v="   "/>
    <n v="54606"/>
    <n v="165760"/>
    <n v="100000"/>
    <s v="GBP"/>
    <n v="1290549.53"/>
    <s v="Polly Evelyn Gif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2909595"/>
    <n v="102909595"/>
    <n v="102909595"/>
    <s v="GB59HAND40516222636256            "/>
    <s v="CURRENT ACCOUNT                                   "/>
  </r>
  <r>
    <n v="41452695603"/>
    <s v="C7 "/>
    <x v="5"/>
    <n v="41452695603"/>
    <d v="2026-07-04T14:17:28"/>
    <n v="115"/>
    <n v="3"/>
    <s v="NWBKGB2107R"/>
    <s v="GB"/>
    <s v="   "/>
    <n v="4124448"/>
    <n v="542147"/>
    <n v="20000"/>
    <s v="GBP"/>
    <n v="258109.93"/>
    <s v="Car paym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26270867"/>
    <n v="126270867"/>
    <n v="126270867"/>
    <s v="GB34HAND40516245046616            "/>
    <s v="CURRENT ACCOUNT                                   "/>
  </r>
  <r>
    <n v="41452600239"/>
    <s v="C7 "/>
    <x v="5"/>
    <n v="41452600239"/>
    <d v="2026-07-04T13:32:56"/>
    <n v="115"/>
    <n v="3"/>
    <s v="YORKGB21641"/>
    <s v="GB"/>
    <s v="   "/>
    <n v="29562633"/>
    <n v="50641"/>
    <n v="14300"/>
    <s v="GBP"/>
    <n v="184548.55"/>
    <s v="C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5548483"/>
    <n v="145548483"/>
    <n v="145548483"/>
    <s v="GB10HAND40516275374777            "/>
    <s v="CURRENT ACCOUNT                                   "/>
  </r>
  <r>
    <n v="41455938889"/>
    <s v="C7 "/>
    <x v="5"/>
    <n v="41455938889"/>
    <d v="2026-07-06T17:07:48"/>
    <n v="115"/>
    <n v="3"/>
    <s v="           "/>
    <s v="GB"/>
    <s v="   "/>
    <n v="60372471"/>
    <n v="209056"/>
    <n v="55000"/>
    <s v="GBP"/>
    <n v="709802.3"/>
    <s v="Brookes 835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35227809"/>
    <n v="135227809"/>
    <n v="135227809"/>
    <s v="GB25HAND40516249805016            "/>
    <s v="CURRENT ACCOUNT                                   "/>
  </r>
  <r>
    <n v="41463253599"/>
    <s v="C7 "/>
    <x v="5"/>
    <n v="41463253599"/>
    <d v="2026-07-11T07:01:03"/>
    <n v="115"/>
    <n v="3"/>
    <s v="           "/>
    <s v="GB"/>
    <s v="   "/>
    <n v="70368032"/>
    <n v="165873"/>
    <n v="100000"/>
    <s v="GBP"/>
    <n v="1290549.53"/>
    <s v="Saving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1421915"/>
    <n v="101421915"/>
    <n v="101421915"/>
    <s v="GB16HAND40516253720001            "/>
    <s v="CURRENT ACCOUNT                                   "/>
  </r>
  <r>
    <n v="41466461015"/>
    <s v="C7 "/>
    <x v="5"/>
    <n v="41466461015"/>
    <d v="2026-07-13T13:24:35"/>
    <n v="115"/>
    <n v="3"/>
    <s v="MYMBGB2LXXX"/>
    <s v="GB"/>
    <s v="   "/>
    <n v="58219401"/>
    <n v="230580"/>
    <n v="60000"/>
    <s v="GBP"/>
    <n v="774329.78"/>
    <s v="Funds Transfer 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35057461"/>
    <n v="135057461"/>
    <n v="135057461"/>
    <s v="GB87HAND40516238666845            "/>
    <s v="DEPOSIT ACCOUNT                                   "/>
  </r>
  <r>
    <n v="41466483811"/>
    <s v="C7 "/>
    <x v="5"/>
    <n v="41466483811"/>
    <d v="2026-07-13T13:36:45"/>
    <n v="98"/>
    <n v="3"/>
    <s v="CAIXESBB   "/>
    <s v="ES"/>
    <s v="   "/>
    <s v="ES1321000780131300547958          "/>
    <s v="                              "/>
    <n v="116900"/>
    <s v="EUR"/>
    <n v="1296136.6100000001"/>
    <s v="CLASE G 8340MG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9278002"/>
    <n v="109278002"/>
    <n v="109278002"/>
    <s v="GB80HAND40516264932825            "/>
    <s v="EURO CURRENT ACCOUNT                              "/>
  </r>
  <r>
    <n v="41469879563"/>
    <s v="C7 "/>
    <x v="5"/>
    <n v="41469879563"/>
    <d v="2026-07-15T16:17:43"/>
    <n v="115"/>
    <n v="3"/>
    <s v="           "/>
    <s v="GB"/>
    <s v="   "/>
    <n v="51971044"/>
    <n v="406301"/>
    <n v="19995"/>
    <s v="GBP"/>
    <n v="258045.42"/>
    <s v="CBS Fix I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92286806"/>
    <n v="92286806"/>
    <n v="92286806"/>
    <s v="GB50HAND40516241400001            "/>
    <s v="EXPENSES ACCOUNT                                  "/>
  </r>
  <r>
    <n v="41472245890"/>
    <s v="C7 "/>
    <x v="5"/>
    <n v="41472245890"/>
    <d v="2026-07-16T17:50:55"/>
    <n v="115"/>
    <n v="3"/>
    <s v="RBOSGB21528"/>
    <s v="GB"/>
    <s v="   "/>
    <n v="10030747"/>
    <n v="161923"/>
    <n v="17000"/>
    <s v="GBP"/>
    <n v="219393.44"/>
    <s v="DH for Step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7560732"/>
    <n v="107560732"/>
    <n v="107560732"/>
    <s v="GB94HAND40516269781991            "/>
    <s v="CURRENT ACCOUNT                                   "/>
  </r>
  <r>
    <n v="41473974572"/>
    <s v="C7 "/>
    <x v="5"/>
    <n v="41473974572"/>
    <d v="2026-07-17T18:29:16"/>
    <n v="115"/>
    <n v="3"/>
    <s v="           "/>
    <s v="GB"/>
    <s v="   "/>
    <n v="63246516"/>
    <n v="608407"/>
    <n v="90000"/>
    <s v="GBP"/>
    <n v="1161494.57"/>
    <s v="17/07 Cunningha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3075137"/>
    <n v="123075137"/>
    <n v="123075137"/>
    <s v="GB75HAND40516253213278            "/>
    <s v="CURRENT ACCOUNT                                   "/>
  </r>
  <r>
    <n v="41473658022"/>
    <s v="C7 "/>
    <x v="5"/>
    <n v="41473658022"/>
    <d v="2026-07-17T15:33:06"/>
    <n v="115"/>
    <n v="3"/>
    <s v="           "/>
    <s v="GB"/>
    <s v="   "/>
    <n v="62629753"/>
    <n v="608407"/>
    <n v="10000"/>
    <s v="GBP"/>
    <n v="129054.96"/>
    <s v="Chase sa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18960145"/>
    <n v="118960145"/>
    <n v="118960145"/>
    <s v="GB51HAND40516241432963            "/>
    <s v="CURRENT ACCOUNT                                   "/>
  </r>
  <r>
    <n v="41473704457"/>
    <s v="C7 "/>
    <x v="5"/>
    <n v="41473704457"/>
    <d v="2026-07-17T15:56:36"/>
    <n v="115"/>
    <n v="3"/>
    <s v="           "/>
    <s v="GB"/>
    <s v="   "/>
    <n v="26406586"/>
    <n v="608456"/>
    <n v="85000"/>
    <s v="GBP"/>
    <n v="1096967.19"/>
    <s v="KRBS issue2 ltd a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96716188"/>
    <n v="96716188"/>
    <n v="96716188"/>
    <s v="GB95HAND40516247387001            "/>
    <s v="CURRENT ACCOUNT                                   "/>
  </r>
  <r>
    <n v="41480028554"/>
    <s v="C7 "/>
    <x v="5"/>
    <n v="41480028554"/>
    <d v="2026-07-21T18:00:52"/>
    <n v="115"/>
    <n v="3"/>
    <s v="           "/>
    <s v="GB"/>
    <s v="   "/>
    <n v="58200138"/>
    <n v="608407"/>
    <n v="50000"/>
    <s v="GBP"/>
    <n v="649241.99"/>
    <s v="House gift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5353056"/>
    <n v="105353056"/>
    <n v="105353056"/>
    <s v="GB17HAND40516217711061            "/>
    <s v="CURRENT ACCOUNT                                   "/>
  </r>
  <r>
    <n v="41479117936"/>
    <s v="C7 "/>
    <x v="5"/>
    <n v="41479117936"/>
    <d v="2026-07-21T10:25:03"/>
    <n v="115"/>
    <n v="3"/>
    <s v="CPBKGB21PSA"/>
    <s v="GB"/>
    <s v="   "/>
    <n v="13228536"/>
    <n v="89103"/>
    <n v="20000"/>
    <s v="GBP"/>
    <n v="259696.78"/>
    <s v="Gif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15108789"/>
    <n v="115108789"/>
    <n v="115108789"/>
    <s v="GB46HAND40516236196314            "/>
    <s v="ANNE DEPOSIT ACCOUNT                              "/>
  </r>
  <r>
    <n v="41483437207"/>
    <s v="C7 "/>
    <x v="5"/>
    <n v="41483437207"/>
    <d v="2026-07-23T18:46:06"/>
    <n v="115"/>
    <n v="3"/>
    <s v="           "/>
    <s v="GB"/>
    <s v="   "/>
    <n v="54088624"/>
    <n v="90643"/>
    <n v="75000"/>
    <s v="GBP"/>
    <n v="973862.99"/>
    <s v="Transfer HB to 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8965344"/>
    <n v="108965344"/>
    <n v="108965344"/>
    <s v="GB15HAND40516215695922            "/>
    <s v="CURRENT ACCOUNT                                   "/>
  </r>
  <r>
    <n v="41483244960"/>
    <s v="C8 "/>
    <x v="5"/>
    <n v="41483244960"/>
    <d v="2026-07-23T17:27:24"/>
    <n v="115"/>
    <n v="3"/>
    <s v="           "/>
    <s v="GB"/>
    <s v="   "/>
    <n v="17554591"/>
    <n v="40339"/>
    <n v="50000"/>
    <s v="GBP"/>
    <n v="649241.99"/>
    <s v="From Cahoot sav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5870745"/>
    <n v="105870745"/>
    <n v="105870745"/>
    <s v="GB18HAND40516288234505            "/>
    <s v="CURRENT ACCOUNT                                   "/>
  </r>
  <r>
    <n v="41483063386"/>
    <s v="C6 "/>
    <x v="5"/>
    <n v="41483063386"/>
    <d v="2026-07-23T15:53:26"/>
    <n v="115"/>
    <n v="3"/>
    <s v="           "/>
    <s v="GB"/>
    <s v="   "/>
    <n v="83372888"/>
    <n v="608407"/>
    <n v="80000"/>
    <s v="GBP"/>
    <n v="1038787.21"/>
    <s v="TVR payment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2720485"/>
    <n v="122720485"/>
    <n v="122720485"/>
    <s v="GB47HAND40516224759996            "/>
    <s v="CURRENT ACCOUNT                                   "/>
  </r>
  <r>
    <n v="41486224304"/>
    <s v="C6 "/>
    <x v="5"/>
    <n v="41486224304"/>
    <d v="2026-07-24T20:35:21"/>
    <n v="115"/>
    <n v="3"/>
    <s v="           "/>
    <s v="GB"/>
    <s v="   "/>
    <n v="26180505"/>
    <n v="608407"/>
    <n v="100000"/>
    <s v="GBP"/>
    <n v="1298483.98"/>
    <s v="Chase AC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86216916"/>
    <s v="C6 "/>
    <x v="5"/>
    <n v="41486216916"/>
    <d v="2026-07-24T20:30:36"/>
    <n v="115"/>
    <n v="3"/>
    <s v="           "/>
    <s v="GB"/>
    <s v="   "/>
    <n v="26180505"/>
    <n v="608407"/>
    <n v="100000"/>
    <s v="GBP"/>
    <n v="1298483.98"/>
    <s v="CHA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86213067"/>
    <s v="C6 "/>
    <x v="5"/>
    <n v="41486213067"/>
    <d v="2026-07-24T20:28:04"/>
    <n v="115"/>
    <n v="3"/>
    <s v="           "/>
    <s v="GB"/>
    <s v="   "/>
    <n v="26180505"/>
    <n v="608407"/>
    <n v="100000"/>
    <s v="GBP"/>
    <n v="1298483.98"/>
    <s v="CHA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86220957"/>
    <s v="C6 "/>
    <x v="5"/>
    <n v="41486220957"/>
    <d v="2026-07-24T20:33:07"/>
    <n v="115"/>
    <n v="3"/>
    <s v="           "/>
    <s v="GB"/>
    <s v="   "/>
    <n v="26180505"/>
    <n v="608407"/>
    <n v="100000"/>
    <s v="GBP"/>
    <n v="1298483.98"/>
    <s v="Chase AC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85012879"/>
    <s v="C7 "/>
    <x v="5"/>
    <n v="41485012879"/>
    <d v="2026-07-24T12:17:34"/>
    <n v="115"/>
    <n v="3"/>
    <s v="           "/>
    <s v="GB"/>
    <s v="   "/>
    <n v="71561241"/>
    <n v="608407"/>
    <n v="10000"/>
    <s v="GBP"/>
    <n v="129848.44"/>
    <s v="Graha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26877208"/>
    <n v="126877208"/>
    <n v="126877208"/>
    <s v="GB80HAND40516238756793            "/>
    <s v="DEPOSIT ACCOUNT                                   "/>
  </r>
  <r>
    <n v="41484393904"/>
    <s v="C7 "/>
    <x v="5"/>
    <n v="41484393904"/>
    <d v="2026-07-24T09:12:35"/>
    <n v="115"/>
    <n v="3"/>
    <s v="           "/>
    <s v="GB"/>
    <s v="   "/>
    <n v="71561241"/>
    <n v="608407"/>
    <n v="10000"/>
    <s v="GBP"/>
    <n v="129848.44"/>
    <s v="Graha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26877208"/>
    <n v="126877208"/>
    <n v="126877208"/>
    <s v="GB80HAND40516238756793            "/>
    <s v="DEPOSIT ACCOUNT                                   "/>
  </r>
  <r>
    <n v="41491748052"/>
    <s v="C7 "/>
    <x v="5"/>
    <n v="41491748052"/>
    <d v="2026-07-27T20:49:49"/>
    <n v="115"/>
    <n v="3"/>
    <s v="           "/>
    <s v="GB"/>
    <s v="   "/>
    <n v="28050318"/>
    <n v="230163"/>
    <n v="11000"/>
    <s v="GBP"/>
    <n v="142833.28"/>
    <s v="Revolu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23896391"/>
    <n v="123896391"/>
    <n v="123896391"/>
    <s v="GB10HAND40516285046550            "/>
    <s v="CURRENT ACCOUNT                                   "/>
  </r>
  <r>
    <n v="41493575842"/>
    <s v="C7 "/>
    <x v="5"/>
    <n v="41493575842"/>
    <d v="2026-07-28T21:12:50"/>
    <n v="115"/>
    <n v="3"/>
    <s v="           "/>
    <s v="GB"/>
    <s v="   "/>
    <n v="13117510"/>
    <n v="608407"/>
    <n v="100000"/>
    <s v="GBP"/>
    <n v="1298483.98"/>
    <s v="To Chase saving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9625572"/>
    <n v="119625572"/>
    <n v="119625572"/>
    <s v="GB68HAND40516210545335            "/>
    <s v="CURRENT ACCOUNT                                   "/>
  </r>
  <r>
    <n v="41492875280"/>
    <s v="C7 "/>
    <x v="5"/>
    <n v="41492875280"/>
    <d v="2026-07-28T14:43:38"/>
    <n v="115"/>
    <n v="3"/>
    <s v="           "/>
    <s v="GB"/>
    <s v="   "/>
    <n v="93115724"/>
    <n v="609204"/>
    <n v="80000"/>
    <s v="GBP"/>
    <n v="1038787.21"/>
    <s v="93115724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0114752"/>
    <n v="140114752"/>
    <n v="140114752"/>
    <s v="GB89HAND40516263895733            "/>
    <s v="CURRENT ACCOUNT                                   "/>
  </r>
  <r>
    <n v="41492198980"/>
    <s v="C7 "/>
    <x v="5"/>
    <n v="41492198980"/>
    <d v="2026-07-28T09:13:33"/>
    <n v="115"/>
    <n v="3"/>
    <s v="           "/>
    <s v="GB"/>
    <s v="   "/>
    <n v="61021382"/>
    <n v="406437"/>
    <n v="20000"/>
    <s v="GBP"/>
    <n v="259696.78"/>
    <s v="moira ush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13115232"/>
    <n v="113115232"/>
    <n v="113115232"/>
    <s v="GB64HAND40516271571405            "/>
    <s v="CURRENT ACCOUNT NO 1                              "/>
  </r>
  <r>
    <n v="41494751270"/>
    <s v="C7 "/>
    <x v="5"/>
    <n v="41494751270"/>
    <d v="2026-07-29T14:01:23"/>
    <n v="115"/>
    <n v="3"/>
    <s v="           "/>
    <s v="GB"/>
    <s v="   "/>
    <n v="89260625"/>
    <n v="230120"/>
    <n v="75000"/>
    <s v="GBP"/>
    <n v="973862.99"/>
    <s v="Revolu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0818184"/>
    <n v="110818184"/>
    <n v="110818184"/>
    <s v="GB64HAND40516215918722            "/>
    <s v="DEPOSIT ACCOUNT                                   "/>
  </r>
  <r>
    <n v="41494665667"/>
    <s v="C7 "/>
    <x v="5"/>
    <n v="41494665667"/>
    <d v="2026-07-29T13:17:18"/>
    <n v="115"/>
    <n v="3"/>
    <s v="           "/>
    <s v="GB"/>
    <s v="   "/>
    <n v="12808787"/>
    <n v="406437"/>
    <n v="15000"/>
    <s v="GBP"/>
    <n v="194772.56"/>
    <s v="Marcus savings ac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17384925"/>
    <n v="117384925"/>
    <n v="117384925"/>
    <s v="GB17HAND40516284008524            "/>
    <s v="DENNE OT CURRENT ACCOUNT                          "/>
  </r>
  <r>
    <n v="41494217700"/>
    <s v="C7 "/>
    <x v="5"/>
    <n v="41494217700"/>
    <d v="2026-07-29T09:20:07"/>
    <n v="115"/>
    <n v="3"/>
    <s v="           "/>
    <s v="GB"/>
    <s v="   "/>
    <n v="89260625"/>
    <n v="230120"/>
    <n v="75000"/>
    <s v="GBP"/>
    <n v="973862.99"/>
    <s v="Revolu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0818184"/>
    <n v="110818184"/>
    <n v="110818184"/>
    <s v="GB64HAND40516215918722            "/>
    <s v="DEPOSIT ACCOUNT                                   "/>
  </r>
  <r>
    <n v="41495789445"/>
    <s v="C7 "/>
    <x v="5"/>
    <n v="41495789445"/>
    <d v="2026-07-30T08:05:44"/>
    <n v="115"/>
    <n v="3"/>
    <s v="           "/>
    <s v="GB"/>
    <s v="   "/>
    <n v="49067234"/>
    <n v="608407"/>
    <n v="20000"/>
    <s v="GBP"/>
    <n v="259696.78"/>
    <s v="Savings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17896027"/>
    <n v="117896027"/>
    <n v="117896027"/>
    <s v="GB16HAND40516230705102            "/>
    <s v="DEPOSIT ACCOUNT                                   "/>
  </r>
  <r>
    <n v="41495811253"/>
    <s v="C6 "/>
    <x v="5"/>
    <n v="41495811253"/>
    <d v="2026-07-30T08:22:08"/>
    <n v="115"/>
    <n v="3"/>
    <s v="           "/>
    <s v="GB"/>
    <s v="   "/>
    <n v="12808787"/>
    <n v="406437"/>
    <n v="13590"/>
    <s v="GBP"/>
    <n v="176463.93"/>
    <s v="Marcus savings ac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17384925"/>
    <n v="117384925"/>
    <n v="117384925"/>
    <s v="GB17HAND40516284008524            "/>
    <s v="DENNE OT CURRENT ACCOUNT                          "/>
  </r>
  <r>
    <n v="41498866040"/>
    <s v="C7 "/>
    <x v="5"/>
    <n v="41498866040"/>
    <d v="2026-07-31T22:04:41"/>
    <n v="115"/>
    <n v="3"/>
    <s v="NWBKGB2104S"/>
    <s v="GB"/>
    <s v="   "/>
    <n v="47989254"/>
    <n v="560069"/>
    <n v="20000"/>
    <s v="GBP"/>
    <n v="259696.78"/>
    <s v="Anne War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1854935"/>
    <n v="141854935"/>
    <n v="141854935"/>
    <s v="GB70HAND40516272017982            "/>
    <s v="DEPOSIT ACCOUNT                                   "/>
  </r>
  <r>
    <n v="41497898755"/>
    <s v="C7 "/>
    <x v="5"/>
    <n v="41497898755"/>
    <d v="2026-07-31T12:43:27"/>
    <n v="115"/>
    <n v="3"/>
    <s v="           "/>
    <s v="GB"/>
    <s v="   "/>
    <n v="50871486"/>
    <n v="202990"/>
    <n v="20000"/>
    <s v="GBP"/>
    <n v="259696.78"/>
    <s v="TVK 47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06021520"/>
    <n v="106021520"/>
    <n v="106021520"/>
    <s v="GB37HAND40516218065042            "/>
    <s v="CURRENT ACCOUNT                                   "/>
  </r>
  <r>
    <n v="41499878714"/>
    <s v="C7 "/>
    <x v="5"/>
    <n v="41499878714"/>
    <d v="2026-08-01T16:21:09"/>
    <n v="115"/>
    <n v="3"/>
    <s v="           "/>
    <s v="GB"/>
    <s v="   "/>
    <n v="10475655"/>
    <n v="40831"/>
    <n v="50000"/>
    <s v="GBP"/>
    <n v="649241.99"/>
    <s v="Camilla Bourqu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5779995"/>
    <n v="105779995"/>
    <n v="105779995"/>
    <s v="GB17HAND40516212615263            "/>
    <s v="CURRENT ACCOUNT                                   "/>
  </r>
  <r>
    <n v="41499919515"/>
    <s v="C6 "/>
    <x v="5"/>
    <n v="41499919515"/>
    <d v="2026-08-01T16:48:29"/>
    <n v="115"/>
    <n v="3"/>
    <s v="           "/>
    <s v="GB"/>
    <s v="   "/>
    <n v="38307720"/>
    <n v="90130"/>
    <n v="40240.32"/>
    <s v="GBP"/>
    <n v="522514.15"/>
    <s v="Sant HB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9007375"/>
    <n v="119007375"/>
    <n v="119007375"/>
    <s v="GB69HAND40516213678514            "/>
    <s v="DEPOSIT ACCOUNT                                   "/>
  </r>
  <r>
    <n v="41499444439"/>
    <s v="C7 "/>
    <x v="5"/>
    <n v="41499444439"/>
    <d v="2026-08-01T12:33:59"/>
    <n v="115"/>
    <n v="3"/>
    <s v="           "/>
    <s v="GB"/>
    <s v="   "/>
    <n v="80762083"/>
    <n v="205961"/>
    <n v="15000"/>
    <s v="GBP"/>
    <n v="194772.56"/>
    <s v="Deposit 20 lind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22744105"/>
    <n v="122744105"/>
    <n v="122744105"/>
    <s v="GB26HAND40516240759748            "/>
    <s v="CURRENT ACCOUNT                                   "/>
  </r>
  <r>
    <n v="41504312903"/>
    <s v="C7 "/>
    <x v="5"/>
    <n v="41504312903"/>
    <d v="2026-08-04T16:01:02"/>
    <n v="115"/>
    <n v="3"/>
    <s v="NRNBGB2LSAV"/>
    <s v="GB"/>
    <s v="   "/>
    <n v="37424349"/>
    <n v="86064"/>
    <n v="19800"/>
    <s v="GBP"/>
    <n v="257099.81"/>
    <s v="Depo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21835144"/>
    <n v="121835144"/>
    <n v="121835144"/>
    <s v="GB88HAND40516270182418            "/>
    <s v="CURRENT ACCOUNT                                   "/>
  </r>
  <r>
    <n v="41504240618"/>
    <s v="C7 "/>
    <x v="5"/>
    <n v="41504240618"/>
    <d v="2026-08-04T15:22:42"/>
    <n v="115"/>
    <n v="3"/>
    <s v="MYMBGB2LXXX"/>
    <s v="GB"/>
    <s v="   "/>
    <n v="43082167"/>
    <n v="230580"/>
    <n v="100000"/>
    <s v="GBP"/>
    <n v="1298483.98"/>
    <s v="3 Aug TF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30575269"/>
    <n v="130575269"/>
    <n v="130575269"/>
    <s v="GB16HAND40516235260319            "/>
    <s v="CURRENT ACCOUNT                                   "/>
  </r>
  <r>
    <n v="41504028902"/>
    <s v="C7 "/>
    <x v="5"/>
    <n v="41504028902"/>
    <d v="2026-08-04T13:35:11"/>
    <n v="115"/>
    <n v="3"/>
    <s v="           "/>
    <s v="GB"/>
    <s v="   "/>
    <n v="18282827"/>
    <n v="980420"/>
    <n v="15000"/>
    <s v="GBP"/>
    <n v="194772.56"/>
    <s v="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44653623"/>
    <n v="144653623"/>
    <n v="144653623"/>
    <s v="GB21HAND40516247379215            "/>
    <s v="CURRENT ACCOUNT                                   "/>
  </r>
  <r>
    <n v="41506176989"/>
    <s v="C7 "/>
    <x v="5"/>
    <n v="41506176989"/>
    <d v="2026-08-05T19:15:11"/>
    <n v="115"/>
    <n v="3"/>
    <s v="HOABGB2LXXX"/>
    <s v="GB"/>
    <s v="   "/>
    <n v="80166232"/>
    <n v="159900"/>
    <n v="100000"/>
    <s v="GBP"/>
    <n v="1298483.98"/>
    <s v=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7953069"/>
    <n v="107953069"/>
    <n v="107953069"/>
    <s v="GB75HAND40516243001700            "/>
    <s v="DEPOSIT ACCOUNT                                   "/>
  </r>
  <r>
    <n v="41506175931"/>
    <s v="C7 "/>
    <x v="5"/>
    <n v="41506175931"/>
    <d v="2026-08-05T19:14:31"/>
    <n v="115"/>
    <n v="3"/>
    <s v="HOABGB2LXXX"/>
    <s v="GB"/>
    <s v="   "/>
    <n v="80166232"/>
    <n v="159900"/>
    <n v="100000"/>
    <s v="GBP"/>
    <n v="1298483.98"/>
    <s v=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7953069"/>
    <n v="107953069"/>
    <n v="107953069"/>
    <s v="GB75HAND40516243001700            "/>
    <s v="DEPOSIT ACCOUNT                                   "/>
  </r>
  <r>
    <n v="41505066348"/>
    <s v="C7 "/>
    <x v="5"/>
    <n v="41505066348"/>
    <d v="2026-08-05T08:39:38"/>
    <n v="115"/>
    <n v="3"/>
    <s v="           "/>
    <s v="GB"/>
    <s v="   "/>
    <n v="18282827"/>
    <n v="980420"/>
    <n v="17495"/>
    <s v="GBP"/>
    <n v="227169.75"/>
    <s v="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44653623"/>
    <n v="144653623"/>
    <n v="144653623"/>
    <s v="GB21HAND40516247379215            "/>
    <s v="CURRENT ACCOUNT                                   "/>
  </r>
  <r>
    <n v="41507644990"/>
    <s v="C7 "/>
    <x v="5"/>
    <n v="41507644990"/>
    <d v="2026-08-06T18:21:54"/>
    <n v="115"/>
    <n v="3"/>
    <s v="           "/>
    <s v="GB"/>
    <s v="   "/>
    <n v="70663619"/>
    <n v="609204"/>
    <n v="19990"/>
    <s v="GBP"/>
    <n v="259566.93"/>
    <s v="70663619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92008465"/>
    <n v="92008465"/>
    <n v="92008465"/>
    <s v="GB56HAND40516262161191            "/>
    <s v="CURRENT ACCOUNT                                   "/>
  </r>
  <r>
    <n v="41507542452"/>
    <s v="C6 "/>
    <x v="5"/>
    <n v="41507542452"/>
    <d v="2026-08-06T17:22:33"/>
    <n v="115"/>
    <n v="3"/>
    <s v="           "/>
    <s v="GB"/>
    <s v="   "/>
    <n v="83770192"/>
    <n v="203964"/>
    <n v="99000"/>
    <s v="GBP"/>
    <n v="1285499.1399999999"/>
    <s v="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1831293"/>
    <n v="111831293"/>
    <n v="111831293"/>
    <s v="GB67HAND40516254747962            "/>
    <s v="CURRENT ACCOUNT                                   "/>
  </r>
  <r>
    <n v="41506604141"/>
    <s v="C7 "/>
    <x v="5"/>
    <n v="41506604141"/>
    <d v="2026-08-06T08:42:57"/>
    <n v="115"/>
    <n v="3"/>
    <s v="           "/>
    <s v="GB"/>
    <s v="   "/>
    <n v="18406146"/>
    <n v="406369"/>
    <n v="40000"/>
    <s v="GBP"/>
    <n v="519393.55"/>
    <s v="FLAT 17 THE GRAN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3231211"/>
    <n v="113231211"/>
    <n v="113231211"/>
    <s v="GB11HAND40516222592112            "/>
    <s v="CURRENT ACCOUNT                                   "/>
  </r>
  <r>
    <n v="41508798982"/>
    <s v="C7 "/>
    <x v="5"/>
    <n v="41508798982"/>
    <d v="2026-08-07T14:23:03"/>
    <n v="115"/>
    <n v="3"/>
    <s v="           "/>
    <s v="GB"/>
    <s v="   "/>
    <n v="68423381"/>
    <n v="40004"/>
    <n v="13200"/>
    <s v="GBP"/>
    <n v="171399.84"/>
    <s v="Jacob Monz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99706335"/>
    <n v="99706335"/>
    <n v="99706335"/>
    <s v="GB53HAND40516251234001            "/>
    <s v="CURRENT ACCOUNT                                   "/>
  </r>
  <r>
    <n v="41512058559"/>
    <s v="C7 "/>
    <x v="5"/>
    <n v="41512058559"/>
    <d v="2026-08-09T20:01:52"/>
    <n v="115"/>
    <n v="3"/>
    <s v="           "/>
    <s v="GB"/>
    <s v="   "/>
    <n v="48042380"/>
    <n v="70116"/>
    <n v="53295"/>
    <s v="GBP"/>
    <n v="692027.05"/>
    <s v="Lucy Nationwi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207073"/>
    <n v="128207073"/>
    <n v="128207073"/>
    <s v="GB95HAND40516238565627            "/>
    <s v="JOINT DEPOSIT ACCOUNT                             "/>
  </r>
  <r>
    <n v="41452226654"/>
    <s v="C6 "/>
    <x v="6"/>
    <n v="41452226654"/>
    <d v="2026-07-04T10:31:13"/>
    <n v="115"/>
    <n v="3"/>
    <s v="           "/>
    <s v="GB"/>
    <s v="   "/>
    <n v="16281625"/>
    <n v="608407"/>
    <n v="100000"/>
    <s v="GBP"/>
    <n v="1290549.53"/>
    <s v="depo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533080"/>
    <n v="128533080"/>
    <n v="128533080"/>
    <s v="GB42HAND40516287347008            "/>
    <s v="CURRENT ACCOUNT MORTGAGE                          "/>
  </r>
  <r>
    <n v="41456899665"/>
    <s v="C7 "/>
    <x v="6"/>
    <n v="41456899665"/>
    <d v="2026-07-07T11:27:28"/>
    <n v="115"/>
    <n v="3"/>
    <s v="           "/>
    <s v="GB"/>
    <s v="   "/>
    <n v="85532110"/>
    <n v="608407"/>
    <n v="55000"/>
    <s v="GBP"/>
    <n v="709802.3"/>
    <s v="Patek Singap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3478273"/>
    <n v="123478273"/>
    <n v="123478273"/>
    <s v="GB86HAND40516229778656            "/>
    <s v="CURRENT ACCOUNT                                   "/>
  </r>
  <r>
    <n v="41458638970"/>
    <s v="C7 "/>
    <x v="6"/>
    <n v="41458638970"/>
    <d v="2026-07-08T12:00:14"/>
    <n v="115"/>
    <n v="3"/>
    <s v="           "/>
    <s v="GB"/>
    <s v="   "/>
    <n v="61949425"/>
    <n v="406437"/>
    <n v="49990"/>
    <s v="GBP"/>
    <n v="645145.71"/>
    <s v="RAP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8924208"/>
    <n v="118924208"/>
    <n v="118924208"/>
    <s v="GB59HAND40516276826373            "/>
    <s v="CURRENT ACCOUNT                                   "/>
  </r>
  <r>
    <n v="41458656962"/>
    <s v="C7 "/>
    <x v="6"/>
    <n v="41458656962"/>
    <d v="2026-07-08T12:08:50"/>
    <n v="115"/>
    <n v="3"/>
    <s v="           "/>
    <s v="GB"/>
    <s v="   "/>
    <n v="12775154"/>
    <n v="406437"/>
    <n v="89861"/>
    <s v="GBP"/>
    <n v="1159700.77"/>
    <s v="saving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7919482"/>
    <n v="107919482"/>
    <n v="107919482"/>
    <s v="GB07HAND40516240247930            "/>
    <s v="SOLE CURRENT ACCOUNT                              "/>
  </r>
  <r>
    <n v="41462004245"/>
    <s v="C7 "/>
    <x v="6"/>
    <n v="41462004245"/>
    <d v="2026-07-10T12:05:52"/>
    <n v="115"/>
    <n v="3"/>
    <s v="           "/>
    <s v="GB"/>
    <s v="   "/>
    <n v="6666272"/>
    <n v="180002"/>
    <n v="80000"/>
    <s v="GBP"/>
    <n v="1032439.7"/>
    <s v="GMC/49SYDNE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0380607"/>
    <n v="110380607"/>
    <n v="110380607"/>
    <s v="GB67HAND40516274059886            "/>
    <s v="DEPOSIT ACCOUNT                                   "/>
  </r>
  <r>
    <n v="41461945768"/>
    <s v="C7 "/>
    <x v="6"/>
    <n v="41461945768"/>
    <d v="2026-07-10T11:39:02"/>
    <n v="115"/>
    <n v="3"/>
    <s v="NWBKGB2132V"/>
    <s v="GB"/>
    <s v="   "/>
    <n v="32639139"/>
    <n v="600111"/>
    <n v="28200"/>
    <s v="GBP"/>
    <n v="363935"/>
    <s v="c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9901054"/>
    <n v="129901054"/>
    <n v="129901054"/>
    <s v="GB81HAND40516228217919            "/>
    <s v="DEPOSIT ACCOUNT                                   "/>
  </r>
  <r>
    <n v="41461930756"/>
    <s v="C7 "/>
    <x v="6"/>
    <n v="41461930756"/>
    <d v="2026-07-10T11:32:29"/>
    <n v="115"/>
    <n v="3"/>
    <s v="NRNBGB2LSAV"/>
    <s v="GB"/>
    <s v="   "/>
    <n v="37328301"/>
    <n v="86064"/>
    <n v="15000"/>
    <s v="GBP"/>
    <n v="193582.44"/>
    <s v="Virgin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3516163"/>
    <n v="148822042"/>
    <n v="123516163"/>
    <s v="GB68HAND40516273988961            "/>
    <s v="CURRENT ACCOUNT                                   "/>
  </r>
  <r>
    <n v="41466102155"/>
    <s v="C7 "/>
    <x v="6"/>
    <n v="41466102155"/>
    <d v="2026-07-13T10:23:01"/>
    <n v="115"/>
    <n v="3"/>
    <s v="HBUKGB4196C"/>
    <s v="GB"/>
    <s v="   "/>
    <n v="95453348"/>
    <n v="401263"/>
    <n v="20000"/>
    <s v="GBP"/>
    <n v="258109.93"/>
    <s v="To HSB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4667308"/>
    <n v="104667308"/>
    <n v="104667308"/>
    <s v="GB76HAND40516246306375            "/>
    <s v="INSTANT ACCESS DEPOSIT ACCOUNT                    "/>
  </r>
  <r>
    <n v="41469450367"/>
    <s v="C7 "/>
    <x v="6"/>
    <n v="41469450367"/>
    <d v="2026-07-15T12:39:21"/>
    <n v="115"/>
    <n v="3"/>
    <s v="           "/>
    <s v="GB"/>
    <s v="   "/>
    <n v="91459589"/>
    <n v="406437"/>
    <n v="20000"/>
    <s v="GBP"/>
    <n v="258109.93"/>
    <s v="Michael Bayl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6609553"/>
    <n v="116609553"/>
    <n v="116609553"/>
    <s v="GB11HAND40516251349411            "/>
    <s v="CURRENT ACCOUNT                                   "/>
  </r>
  <r>
    <n v="41495789445"/>
    <s v="C7 "/>
    <x v="7"/>
    <n v="41495789445"/>
    <d v="2026-07-30T08:05:44"/>
    <n v="115"/>
    <n v="3"/>
    <s v="           "/>
    <s v="GB"/>
    <s v="   "/>
    <n v="49067234"/>
    <n v="608407"/>
    <n v="20000"/>
    <s v="GBP"/>
    <n v="259696.78"/>
    <s v="Savings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17896027"/>
    <n v="117896027"/>
    <n v="117896027"/>
    <s v="GB16HAND40516230705102            "/>
    <s v="DEPOSIT ACCOUNT                                   "/>
  </r>
  <r>
    <n v="41495811253"/>
    <s v="C6 "/>
    <x v="7"/>
    <n v="41495811253"/>
    <d v="2026-07-30T08:22:08"/>
    <n v="115"/>
    <n v="3"/>
    <s v="           "/>
    <s v="GB"/>
    <s v="   "/>
    <n v="12808787"/>
    <n v="406437"/>
    <n v="13590"/>
    <s v="GBP"/>
    <n v="176463.93"/>
    <s v="Marcus savings ac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17384925"/>
    <n v="117384925"/>
    <n v="117384925"/>
    <s v="GB17HAND40516284008524            "/>
    <s v="DENNE OT CURRENT ACCOUNT                          "/>
  </r>
  <r>
    <n v="41505066348"/>
    <s v="C7 "/>
    <x v="7"/>
    <n v="41505066348"/>
    <d v="2026-08-05T08:39:38"/>
    <n v="115"/>
    <n v="3"/>
    <s v="           "/>
    <s v="GB"/>
    <s v="   "/>
    <n v="18282827"/>
    <n v="980420"/>
    <n v="17495"/>
    <s v="GBP"/>
    <n v="227169.75"/>
    <s v="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44653623"/>
    <n v="144653623"/>
    <n v="144653623"/>
    <s v="GB21HAND40516247379215            "/>
    <s v="CURRENT ACCOUNT                                   "/>
  </r>
  <r>
    <n v="41506604141"/>
    <s v="C7 "/>
    <x v="7"/>
    <n v="41506604141"/>
    <d v="2026-08-06T08:42:57"/>
    <n v="115"/>
    <n v="3"/>
    <s v="           "/>
    <s v="GB"/>
    <s v="   "/>
    <n v="18406146"/>
    <n v="406369"/>
    <n v="40000"/>
    <s v="GBP"/>
    <n v="519393.55"/>
    <s v="FLAT 17 THE GRAN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3231211"/>
    <n v="113231211"/>
    <n v="113231211"/>
    <s v="GB11HAND40516222592112            "/>
    <s v="CURRENT ACCOUNT                                   "/>
  </r>
  <r>
    <n v="41466483811"/>
    <s v="C7 "/>
    <x v="8"/>
    <n v="41466483811"/>
    <d v="2026-07-13T13:36:45"/>
    <n v="98"/>
    <n v="3"/>
    <s v="CAIXESBB   "/>
    <s v="ES"/>
    <s v="   "/>
    <s v="ES1321000780131300547958          "/>
    <s v="                              "/>
    <n v="116900"/>
    <s v="EUR"/>
    <n v="1296136.6100000001"/>
    <s v="CLASE G 8340MG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9278002"/>
    <n v="109278002"/>
    <n v="109278002"/>
    <s v="GB80HAND40516264932825            "/>
    <s v="EURO CURRENT ACCOUNT                              "/>
  </r>
  <r>
    <n v="41446939640"/>
    <s v="C7 "/>
    <x v="9"/>
    <n v="41446939640"/>
    <d v="2026-07-01T10:39:16"/>
    <n v="69"/>
    <n v="3"/>
    <s v="           "/>
    <s v="GB"/>
    <s v="   "/>
    <n v="80432571"/>
    <n v="200771"/>
    <n v="1500000"/>
    <s v="GBP"/>
    <n v="19297059.140000001"/>
    <s v="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88738513"/>
    <n v="88738513"/>
    <n v="88738513"/>
    <s v="GB12HAND40516238616979            "/>
    <s v="DEPOSIT ACCOUNT                                   "/>
  </r>
  <r>
    <n v="41479581129"/>
    <s v="C7 "/>
    <x v="9"/>
    <n v="41479581129"/>
    <d v="2026-07-21T14:09:31"/>
    <n v="69"/>
    <n v="3"/>
    <s v="           "/>
    <s v="GB"/>
    <s v="   "/>
    <n v="31682626"/>
    <n v="40075"/>
    <n v="1280000"/>
    <s v="GBP"/>
    <n v="16620595.1"/>
    <s v="Rasm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3290936"/>
    <n v="113290936"/>
    <n v="113290936"/>
    <s v="GB23HAND40516265532535            "/>
    <s v="CURRENT ACCOUNT                                   "/>
  </r>
  <r>
    <n v="41446946687"/>
    <s v="C7 "/>
    <x v="10"/>
    <n v="41446946687"/>
    <d v="2026-07-01T10:43:15"/>
    <n v="69"/>
    <n v="3"/>
    <s v="           "/>
    <s v="GB"/>
    <s v="   "/>
    <n v="80432571"/>
    <n v="200771"/>
    <n v="320000"/>
    <s v="GBP"/>
    <n v="4116705.96"/>
    <s v="pay back of 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88738513"/>
    <n v="88738513"/>
    <n v="88738513"/>
    <s v="GB12HAND40516238616979            "/>
    <s v="DEPOSIT ACCOUNT                                   "/>
  </r>
  <r>
    <n v="41449900442"/>
    <s v="C7 "/>
    <x v="10"/>
    <n v="41449900442"/>
    <d v="2026-07-02T19:46:20"/>
    <n v="115"/>
    <n v="3"/>
    <s v="           "/>
    <s v="GB"/>
    <s v="   "/>
    <n v="50604895"/>
    <n v="204673"/>
    <n v="25000"/>
    <s v="GBP"/>
    <n v="322637.40999999997"/>
    <s v="klander hande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8159213"/>
    <n v="148159213"/>
    <n v="148159213"/>
    <s v="GB28HAND40516224592140            "/>
    <s v="CURRENT ACCOUNT                                   "/>
  </r>
  <r>
    <n v="41449578507"/>
    <s v="C7 "/>
    <x v="10"/>
    <n v="41449578507"/>
    <d v="2026-07-02T16:50:44"/>
    <n v="115"/>
    <n v="3"/>
    <s v="           "/>
    <s v="GB"/>
    <s v="   "/>
    <n v="61658919"/>
    <n v="406437"/>
    <n v="90000"/>
    <s v="GBP"/>
    <n v="1161494.57"/>
    <s v="Vi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86816444"/>
    <n v="86816444"/>
    <n v="86816444"/>
    <s v="GB35HAND40516249169001            "/>
    <s v="CURRENT ACCOUNT                                   "/>
  </r>
  <r>
    <n v="41451344908"/>
    <s v="C7 "/>
    <x v="10"/>
    <n v="41451344908"/>
    <d v="2026-07-03T16:18:56"/>
    <n v="115"/>
    <n v="3"/>
    <s v="           "/>
    <s v="GB"/>
    <s v="   "/>
    <n v="16281625"/>
    <n v="608407"/>
    <n v="100000"/>
    <s v="GBP"/>
    <n v="1290549.53"/>
    <s v="depo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533080"/>
    <n v="128533080"/>
    <n v="128533080"/>
    <s v="GB42HAND40516287347008            "/>
    <s v="CURRENT ACCOUNT MORTGAGE                          "/>
  </r>
  <r>
    <n v="41451349515"/>
    <s v="C6 "/>
    <x v="10"/>
    <n v="41451349515"/>
    <d v="2026-07-03T16:20:59"/>
    <n v="115"/>
    <n v="3"/>
    <s v="           "/>
    <s v="GB"/>
    <s v="   "/>
    <n v="16281625"/>
    <n v="608407"/>
    <n v="50000"/>
    <s v="GBP"/>
    <n v="645274.81999999995"/>
    <s v="depo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533080"/>
    <n v="128533080"/>
    <n v="128533080"/>
    <s v="GB42HAND40516287347008            "/>
    <s v="CURRENT ACCOUNT MORTGAGE                          "/>
  </r>
  <r>
    <n v="41451347753"/>
    <s v="C6 "/>
    <x v="10"/>
    <n v="41451347753"/>
    <d v="2026-07-03T16:20:08"/>
    <n v="115"/>
    <n v="3"/>
    <s v="           "/>
    <s v="GB"/>
    <s v="   "/>
    <n v="16281625"/>
    <n v="608407"/>
    <n v="100000"/>
    <s v="GBP"/>
    <n v="1290549.53"/>
    <s v="depo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533080"/>
    <n v="128533080"/>
    <n v="128533080"/>
    <s v="GB42HAND40516287347008            "/>
    <s v="CURRENT ACCOUNT MORTGAGE                          "/>
  </r>
  <r>
    <n v="41450493081"/>
    <s v="C7 "/>
    <x v="10"/>
    <n v="41450493081"/>
    <d v="2026-07-03T09:56:46"/>
    <n v="115"/>
    <n v="3"/>
    <s v="SMIWGB2LXXX"/>
    <s v="GB"/>
    <s v="   "/>
    <n v="54606"/>
    <n v="165760"/>
    <n v="100000"/>
    <s v="GBP"/>
    <n v="1290549.53"/>
    <s v="Polly Evelyn Gif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2909595"/>
    <n v="102909595"/>
    <n v="102909595"/>
    <s v="GB59HAND40516222636256            "/>
    <s v="CURRENT ACCOUNT                                   "/>
  </r>
  <r>
    <n v="41450496287"/>
    <s v="C6 "/>
    <x v="10"/>
    <n v="41450496287"/>
    <d v="2026-07-03T09:58:23"/>
    <n v="115"/>
    <n v="3"/>
    <s v="SMIWGB2LXXX"/>
    <s v="GB"/>
    <s v="   "/>
    <n v="54606"/>
    <n v="165760"/>
    <n v="25000"/>
    <s v="GBP"/>
    <n v="322637.40999999997"/>
    <s v="Polly Evelyn Gif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2909595"/>
    <n v="102909595"/>
    <n v="102909595"/>
    <s v="GB59HAND40516222636256            "/>
    <s v="CURRENT ACCOUNT                                   "/>
  </r>
  <r>
    <n v="41455493035"/>
    <s v="C7 "/>
    <x v="10"/>
    <n v="41455493035"/>
    <d v="2026-07-06T13:38:08"/>
    <n v="115"/>
    <n v="3"/>
    <s v="           "/>
    <s v="GB"/>
    <s v="   "/>
    <n v="54008774"/>
    <n v="90643"/>
    <n v="50000"/>
    <s v="GBP"/>
    <n v="645274.81999999995"/>
    <s v="Savings (Cahoot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0919394"/>
    <n v="120919394"/>
    <n v="120919394"/>
    <s v="GB42HAND40516212423723            "/>
    <s v="CURRENT ACCOUNT                                   "/>
  </r>
  <r>
    <n v="41457595014"/>
    <s v="C7 "/>
    <x v="10"/>
    <n v="41457595014"/>
    <d v="2026-07-07T16:56:11"/>
    <n v="115"/>
    <n v="3"/>
    <s v="LOYDGB21F87"/>
    <s v="GB"/>
    <s v="   "/>
    <n v="14063562"/>
    <n v="770439"/>
    <n v="10000"/>
    <s v="GBP"/>
    <n v="129054.96"/>
    <s v="Building repai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25963512"/>
    <n v="125963512"/>
    <n v="125963512"/>
    <s v="GB07HAND40516272028040            "/>
    <s v="CURRENT ACCOUNT                                   "/>
  </r>
  <r>
    <n v="41456899665"/>
    <s v="C7 "/>
    <x v="10"/>
    <n v="41456899665"/>
    <d v="2026-07-07T11:27:28"/>
    <n v="115"/>
    <n v="3"/>
    <s v="           "/>
    <s v="GB"/>
    <s v="   "/>
    <n v="85532110"/>
    <n v="608407"/>
    <n v="55000"/>
    <s v="GBP"/>
    <n v="709802.3"/>
    <s v="Patek Singap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3478273"/>
    <n v="123478273"/>
    <n v="123478273"/>
    <s v="GB86HAND40516229778656            "/>
    <s v="CURRENT ACCOUNT                                   "/>
  </r>
  <r>
    <n v="41459665892"/>
    <s v="C7 "/>
    <x v="10"/>
    <n v="41459665892"/>
    <d v="2026-07-08T21:36:52"/>
    <n v="115"/>
    <n v="3"/>
    <s v="LOYDGB21F45"/>
    <s v="GB"/>
    <s v="   "/>
    <n v="1362320"/>
    <n v="304067"/>
    <n v="20000"/>
    <s v="GBP"/>
    <n v="258109.93"/>
    <s v="EM1579949-0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5716052"/>
    <n v="115716052"/>
    <n v="115716052"/>
    <s v="GB39HAND40516275776999            "/>
    <s v="MR &amp; MRS A R WOOD HOUSE ACCOUNT                   "/>
  </r>
  <r>
    <n v="41459674249"/>
    <s v="C7 "/>
    <x v="10"/>
    <n v="41459674249"/>
    <d v="2026-07-08T21:44:36"/>
    <n v="115"/>
    <n v="3"/>
    <s v="LOYDGB21F45"/>
    <s v="GB"/>
    <s v="   "/>
    <n v="1362320"/>
    <n v="304067"/>
    <n v="20000"/>
    <s v="GBP"/>
    <n v="258109.93"/>
    <s v="EM1584363-0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5716052"/>
    <n v="115716052"/>
    <n v="115716052"/>
    <s v="GB39HAND40516275776999            "/>
    <s v="MR &amp; MRS A R WOOD HOUSE ACCOUNT                   "/>
  </r>
  <r>
    <n v="41458164138"/>
    <s v="C7 "/>
    <x v="10"/>
    <n v="41458164138"/>
    <d v="2026-07-08T01:16:07"/>
    <n v="115"/>
    <n v="3"/>
    <s v="YORKGB21200"/>
    <s v="GB"/>
    <s v="   "/>
    <n v="13389011"/>
    <n v="50200"/>
    <n v="35000"/>
    <s v="GBP"/>
    <n v="451692.37"/>
    <s v="Directors 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5587352"/>
    <n v="125587352"/>
    <n v="125587352"/>
    <s v="GB98HAND40516267160882            "/>
    <s v="CURRENT ACCOUNT                                   "/>
  </r>
  <r>
    <n v="41458164248"/>
    <s v="C7 "/>
    <x v="10"/>
    <n v="41458164248"/>
    <d v="2026-07-08T01:16:08"/>
    <n v="115"/>
    <n v="3"/>
    <s v="YORKGB21200"/>
    <s v="GB"/>
    <s v="   "/>
    <n v="13389011"/>
    <n v="50200"/>
    <n v="50000"/>
    <s v="GBP"/>
    <n v="645274.81999999995"/>
    <s v="Directors 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5587352"/>
    <n v="125587352"/>
    <n v="125587352"/>
    <s v="GB98HAND40516267160882            "/>
    <s v="CURRENT ACCOUNT                                   "/>
  </r>
  <r>
    <n v="41462839274"/>
    <s v="C7 "/>
    <x v="10"/>
    <n v="41462839274"/>
    <d v="2026-07-10T18:49:28"/>
    <n v="115"/>
    <n v="3"/>
    <s v="MIDLGB2196K"/>
    <s v="GB"/>
    <s v="   "/>
    <n v="10235121"/>
    <n v="403232"/>
    <n v="100000"/>
    <s v="GBP"/>
    <n v="1290549.53"/>
    <s v="PA273125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8525652"/>
    <n v="148525652"/>
    <n v="148525652"/>
    <s v="GB31HAND40516213470842            "/>
    <s v="CURRENT ACCOUNT                                   "/>
  </r>
  <r>
    <n v="41462835117"/>
    <s v="C7 "/>
    <x v="10"/>
    <n v="41462835117"/>
    <d v="2026-07-10T18:46:35"/>
    <n v="115"/>
    <n v="3"/>
    <s v="MIDLGB2196K"/>
    <s v="GB"/>
    <s v="   "/>
    <n v="10235121"/>
    <n v="403232"/>
    <n v="100000"/>
    <s v="GBP"/>
    <n v="1290549.53"/>
    <s v="PA273125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8525652"/>
    <n v="148525652"/>
    <n v="148525652"/>
    <s v="GB31HAND40516213470842            "/>
    <s v="CURRENT ACCOUNT                                   "/>
  </r>
  <r>
    <n v="41462850655"/>
    <s v="C6 "/>
    <x v="10"/>
    <n v="41462850655"/>
    <d v="2026-07-10T18:56:19"/>
    <n v="115"/>
    <n v="3"/>
    <s v="MIDLGB2196K"/>
    <s v="GB"/>
    <s v="   "/>
    <n v="10235121"/>
    <n v="403232"/>
    <n v="80000"/>
    <s v="GBP"/>
    <n v="1032439.7"/>
    <s v="PA273125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8525652"/>
    <n v="148525652"/>
    <n v="148525652"/>
    <s v="GB31HAND40516213470842            "/>
    <s v="CURRENT ACCOUNT                                   "/>
  </r>
  <r>
    <n v="41463606609"/>
    <s v="C6 "/>
    <x v="10"/>
    <n v="41463606609"/>
    <d v="2026-07-11T12:08:46"/>
    <n v="115"/>
    <n v="3"/>
    <s v="NWBKGB2118W"/>
    <s v="GB"/>
    <s v="   "/>
    <n v="57317232"/>
    <n v="555010"/>
    <n v="100000"/>
    <s v="GBP"/>
    <n v="1290549.53"/>
    <s v="GIFT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6573514"/>
    <n v="146573514"/>
    <n v="146573514"/>
    <s v="GB84HAND40516234456032            "/>
    <s v="DEPOSIT ACCOUNT                                   "/>
  </r>
  <r>
    <n v="41463610727"/>
    <s v="C6 "/>
    <x v="10"/>
    <n v="41463610727"/>
    <d v="2026-07-11T12:10:37"/>
    <n v="115"/>
    <n v="3"/>
    <s v="HBUKGB4153L"/>
    <s v="GB"/>
    <s v="   "/>
    <n v="51396080"/>
    <n v="404031"/>
    <n v="95000"/>
    <s v="GBP"/>
    <n v="1226022.05"/>
    <s v="GIFT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6573514"/>
    <n v="146573514"/>
    <n v="146573514"/>
    <s v="GB84HAND40516234456032            "/>
    <s v="DEPOSIT ACCOUNT                                   "/>
  </r>
  <r>
    <n v="41466468310"/>
    <s v="C7 "/>
    <x v="10"/>
    <n v="41466468310"/>
    <d v="2026-07-13T13:28:22"/>
    <n v="115"/>
    <n v="3"/>
    <s v="MYMBGB2LXXX"/>
    <s v="GB"/>
    <s v="   "/>
    <n v="58219401"/>
    <n v="230580"/>
    <n v="41000"/>
    <s v="GBP"/>
    <n v="529125.35"/>
    <s v="Funds Transfer 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35057461"/>
    <n v="135057461"/>
    <n v="135057461"/>
    <s v="GB87HAND40516238666845            "/>
    <s v="DEPOSIT ACCOUNT                                   "/>
  </r>
  <r>
    <n v="41474001223"/>
    <s v="C8 "/>
    <x v="10"/>
    <n v="41474001223"/>
    <d v="2026-07-17T18:46:35"/>
    <n v="69"/>
    <n v="3"/>
    <s v="RBOSGB21528"/>
    <s v="GB"/>
    <s v="   "/>
    <n v="10030747"/>
    <n v="161923"/>
    <n v="250000"/>
    <s v="GBP"/>
    <n v="3226373.98"/>
    <s v="DH to DDJ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7560732"/>
    <n v="107560732"/>
    <n v="107560732"/>
    <s v="GB94HAND40516269781991            "/>
    <s v="CURRENT ACCOUNT                                   "/>
  </r>
  <r>
    <n v="41473841513"/>
    <s v="C7 "/>
    <x v="10"/>
    <n v="41473841513"/>
    <d v="2026-07-17T17:12:18"/>
    <n v="115"/>
    <n v="3"/>
    <s v="           "/>
    <s v="GB"/>
    <s v="   "/>
    <n v="24040801"/>
    <n v="40605"/>
    <n v="13329.74"/>
    <s v="GBP"/>
    <n v="172026.88"/>
    <s v="HBOT Sau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132131"/>
    <n v="128132131"/>
    <n v="128132131"/>
    <s v="GB39HAND40516258923540            "/>
    <s v="CURRENT ACCOUNT                                   "/>
  </r>
  <r>
    <n v="41480028554"/>
    <s v="C7 "/>
    <x v="10"/>
    <n v="41480028554"/>
    <d v="2026-07-21T18:00:52"/>
    <n v="115"/>
    <n v="3"/>
    <s v="           "/>
    <s v="GB"/>
    <s v="   "/>
    <n v="58200138"/>
    <n v="608407"/>
    <n v="50000"/>
    <s v="GBP"/>
    <n v="649241.99"/>
    <s v="House gift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5353056"/>
    <n v="105353056"/>
    <n v="105353056"/>
    <s v="GB17HAND40516217711061            "/>
    <s v="CURRENT ACCOUNT                                   "/>
  </r>
  <r>
    <n v="41483254891"/>
    <s v="C7 "/>
    <x v="10"/>
    <n v="41483254891"/>
    <d v="2026-07-23T17:32:42"/>
    <n v="115"/>
    <n v="3"/>
    <s v="           "/>
    <s v="GB"/>
    <s v="   "/>
    <n v="73114139"/>
    <n v="406437"/>
    <n v="100000"/>
    <s v="GBP"/>
    <n v="1298483.98"/>
    <s v="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9228773"/>
    <n v="119228773"/>
    <n v="119228773"/>
    <s v="GB89HAND40516214461623            "/>
    <s v="DEPOSIT ACCOUNT                                   "/>
  </r>
  <r>
    <n v="41483063386"/>
    <s v="C6 "/>
    <x v="10"/>
    <n v="41483063386"/>
    <d v="2026-07-23T15:53:26"/>
    <n v="115"/>
    <n v="3"/>
    <s v="           "/>
    <s v="GB"/>
    <s v="   "/>
    <n v="83372888"/>
    <n v="608407"/>
    <n v="80000"/>
    <s v="GBP"/>
    <n v="1038787.21"/>
    <s v="TVR payment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2720485"/>
    <n v="122720485"/>
    <n v="122720485"/>
    <s v="GB47HAND40516224759996            "/>
    <s v="CURRENT ACCOUNT                                   "/>
  </r>
  <r>
    <n v="41482548652"/>
    <s v="C7 "/>
    <x v="10"/>
    <n v="41482548652"/>
    <d v="2026-07-23T11:49:38"/>
    <n v="115"/>
    <n v="3"/>
    <s v="BOFSGBS1CTL"/>
    <s v="GB"/>
    <s v="   "/>
    <n v="13139066"/>
    <n v="804887"/>
    <n v="90000"/>
    <s v="GBP"/>
    <n v="1168635.6399999999"/>
    <s v="HB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35198109"/>
    <n v="135198109"/>
    <n v="135198109"/>
    <s v="GB84HAND40516224516248            "/>
    <s v="DEPOSIT ACCOUNT                                   "/>
  </r>
  <r>
    <n v="41486213067"/>
    <s v="C6 "/>
    <x v="10"/>
    <n v="41486213067"/>
    <d v="2026-07-24T20:28:04"/>
    <n v="115"/>
    <n v="3"/>
    <s v="           "/>
    <s v="GB"/>
    <s v="   "/>
    <n v="26180505"/>
    <n v="608407"/>
    <n v="100000"/>
    <s v="GBP"/>
    <n v="1298483.98"/>
    <s v="CHA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86224304"/>
    <s v="C6 "/>
    <x v="10"/>
    <n v="41486224304"/>
    <d v="2026-07-24T20:35:21"/>
    <n v="115"/>
    <n v="3"/>
    <s v="           "/>
    <s v="GB"/>
    <s v="   "/>
    <n v="26180505"/>
    <n v="608407"/>
    <n v="100000"/>
    <s v="GBP"/>
    <n v="1298483.98"/>
    <s v="Chase AC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86220957"/>
    <s v="C6 "/>
    <x v="10"/>
    <n v="41486220957"/>
    <d v="2026-07-24T20:33:07"/>
    <n v="115"/>
    <n v="3"/>
    <s v="           "/>
    <s v="GB"/>
    <s v="   "/>
    <n v="26180505"/>
    <n v="608407"/>
    <n v="100000"/>
    <s v="GBP"/>
    <n v="1298483.98"/>
    <s v="Chase AC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86216916"/>
    <s v="C6 "/>
    <x v="10"/>
    <n v="41486216916"/>
    <d v="2026-07-24T20:30:36"/>
    <n v="115"/>
    <n v="3"/>
    <s v="           "/>
    <s v="GB"/>
    <s v="   "/>
    <n v="26180505"/>
    <n v="608407"/>
    <n v="100000"/>
    <s v="GBP"/>
    <n v="1298483.98"/>
    <s v="CHA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92391683"/>
    <s v="C7 "/>
    <x v="10"/>
    <n v="41492391683"/>
    <d v="2026-07-28T10:56:27"/>
    <n v="115"/>
    <n v="3"/>
    <s v="           "/>
    <s v="GB"/>
    <s v="   "/>
    <n v="43255473"/>
    <n v="608407"/>
    <n v="25000"/>
    <s v="GBP"/>
    <n v="324621"/>
    <s v="Trf to saving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5377780"/>
    <n v="115377780"/>
    <n v="115377780"/>
    <s v="GB49HAND40516276240479            "/>
    <s v="DEPOSIT ACCOUNT                                   "/>
  </r>
  <r>
    <n v="41492007964"/>
    <s v="C7 "/>
    <x v="10"/>
    <n v="41492007964"/>
    <d v="2026-07-28T01:31:48"/>
    <n v="115"/>
    <n v="3"/>
    <s v="HBUKGB4104A"/>
    <s v="GB"/>
    <s v="   "/>
    <n v="31512617"/>
    <n v="401903"/>
    <n v="10000"/>
    <s v="GBP"/>
    <n v="129848.44"/>
    <s v="A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6494933"/>
    <n v="106494933"/>
    <n v="106494933"/>
    <s v="GB69HAND40516217834867            "/>
    <s v="CURRENT ACCOUNT                                   "/>
  </r>
  <r>
    <n v="41497065241"/>
    <s v="C7 "/>
    <x v="10"/>
    <n v="41497065241"/>
    <d v="2026-07-30T20:25:30"/>
    <n v="115"/>
    <n v="3"/>
    <s v="           "/>
    <s v="GB"/>
    <s v="   "/>
    <n v="73002616"/>
    <n v="206155"/>
    <n v="14644.06"/>
    <s v="GBP"/>
    <n v="190150.8"/>
    <s v="AWI trust tax 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7888564"/>
    <n v="125780189"/>
    <n v="147888564"/>
    <s v="GB40HAND40516225024544            "/>
    <s v="DEPOSIT ACCOUNT                                   "/>
  </r>
  <r>
    <n v="41499878714"/>
    <s v="C7 "/>
    <x v="10"/>
    <n v="41499878714"/>
    <d v="2026-08-01T16:21:09"/>
    <n v="115"/>
    <n v="3"/>
    <s v="           "/>
    <s v="GB"/>
    <s v="   "/>
    <n v="10475655"/>
    <n v="40831"/>
    <n v="50000"/>
    <s v="GBP"/>
    <n v="649241.99"/>
    <s v="Camilla Bourqu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5779995"/>
    <n v="105779995"/>
    <n v="105779995"/>
    <s v="GB17HAND40516212615263            "/>
    <s v="CURRENT ACCOUNT                                   "/>
  </r>
  <r>
    <n v="41501265441"/>
    <s v="C6 "/>
    <x v="10"/>
    <n v="41501265441"/>
    <d v="2026-08-02T17:13:16"/>
    <n v="115"/>
    <n v="3"/>
    <s v="MIDLGB2196K"/>
    <s v="GB"/>
    <s v="   "/>
    <n v="25574811"/>
    <n v="403232"/>
    <n v="10000"/>
    <s v="GBP"/>
    <n v="129848.44"/>
    <s v="FUND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47009427"/>
    <n v="147009427"/>
    <n v="147009427"/>
    <s v="GB13HAND40516230631242            "/>
    <s v="CURRENT ACCOUNT                                   "/>
  </r>
  <r>
    <n v="41502365582"/>
    <s v="C7 "/>
    <x v="10"/>
    <n v="41502365582"/>
    <d v="2026-08-03T13:06:28"/>
    <n v="115"/>
    <n v="3"/>
    <s v="           "/>
    <s v="GB"/>
    <s v="   "/>
    <n v="3649830"/>
    <n v="203775"/>
    <n v="100000"/>
    <s v="GBP"/>
    <n v="1298483.98"/>
    <s v="Hartla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4780263"/>
    <n v="124780263"/>
    <n v="124780263"/>
    <s v="GB78HAND40516235771945            "/>
    <s v="DEPOSIT ACCOUNT                                   "/>
  </r>
  <r>
    <n v="41504635203"/>
    <s v="C6 "/>
    <x v="10"/>
    <n v="41504635203"/>
    <d v="2026-08-04T19:08:48"/>
    <n v="115"/>
    <n v="3"/>
    <s v="SRLGGB2LXXX"/>
    <s v="GB"/>
    <s v="   "/>
    <n v="12470709"/>
    <n v="608371"/>
    <n v="18000"/>
    <s v="GBP"/>
    <n v="233727.09"/>
    <s v="INV-08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324746"/>
    <n v="128324746"/>
    <n v="128324746"/>
    <s v="GB15HAND40516225968804            "/>
    <s v="OFFSET ACCOUNT                                    "/>
  </r>
  <r>
    <n v="41506176989"/>
    <s v="C7 "/>
    <x v="10"/>
    <n v="41506176989"/>
    <d v="2026-08-05T19:15:11"/>
    <n v="115"/>
    <n v="3"/>
    <s v="HOABGB2LXXX"/>
    <s v="GB"/>
    <s v="   "/>
    <n v="80166232"/>
    <n v="159900"/>
    <n v="100000"/>
    <s v="GBP"/>
    <n v="1298483.98"/>
    <s v=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7953069"/>
    <n v="107953069"/>
    <n v="107953069"/>
    <s v="GB75HAND40516243001700            "/>
    <s v="DEPOSIT ACCOUNT                                   "/>
  </r>
  <r>
    <n v="41507542452"/>
    <s v="C6 "/>
    <x v="10"/>
    <n v="41507542452"/>
    <d v="2026-08-06T17:22:33"/>
    <n v="115"/>
    <n v="3"/>
    <s v="           "/>
    <s v="GB"/>
    <s v="   "/>
    <n v="83770192"/>
    <n v="203964"/>
    <n v="99000"/>
    <s v="GBP"/>
    <n v="1285499.1399999999"/>
    <s v="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1831293"/>
    <n v="111831293"/>
    <n v="111831293"/>
    <s v="GB67HAND40516254747962            "/>
    <s v="CURRENT ACCOUNT                                   "/>
  </r>
  <r>
    <n v="41507370412"/>
    <s v="C7 "/>
    <x v="10"/>
    <n v="41507370412"/>
    <d v="2026-08-06T15:48:39"/>
    <n v="69"/>
    <n v="3"/>
    <s v="NWBKGB2113S"/>
    <s v="GB"/>
    <s v="   "/>
    <n v="94457662"/>
    <n v="10541"/>
    <n v="131250"/>
    <s v="GBP"/>
    <n v="1704260.23"/>
    <s v="emmerson heritan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3220075"/>
    <n v="103220075"/>
    <n v="103220075"/>
    <s v="GB96HAND40516263169562            "/>
    <s v="CURRENT ACCOUNT                                   "/>
  </r>
  <r>
    <n v="41509375121"/>
    <s v="C6 "/>
    <x v="10"/>
    <n v="41509375121"/>
    <d v="2026-08-07T19:50:11"/>
    <n v="115"/>
    <n v="3"/>
    <s v="           "/>
    <s v="GB"/>
    <s v="   "/>
    <n v="93108627"/>
    <n v="206518"/>
    <n v="30000"/>
    <s v="GBP"/>
    <n v="389545.21"/>
    <s v="SH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0890316"/>
    <n v="110890316"/>
    <n v="110890316"/>
    <s v="GB39HAND40516255068663            "/>
    <s v="CURRENT ACCOUNT                                   "/>
  </r>
  <r>
    <n v="41509275856"/>
    <s v="C7 "/>
    <x v="10"/>
    <n v="41509275856"/>
    <d v="2026-08-07T18:38:58"/>
    <n v="115"/>
    <n v="3"/>
    <s v="TRWIGB2LXXX"/>
    <s v="GB"/>
    <s v="   "/>
    <n v="54560668"/>
    <n v="231470"/>
    <n v="10000"/>
    <s v="GBP"/>
    <n v="129848.44"/>
    <s v="HGM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5390674"/>
    <n v="125390674"/>
    <n v="125390674"/>
    <s v="GB89HAND40516235052201            "/>
    <s v="CURRENT ACCOUNT                                   "/>
  </r>
  <r>
    <n v="41447045903"/>
    <s v="C7 "/>
    <x v="11"/>
    <n v="41447045903"/>
    <d v="2026-07-01T11:29:41"/>
    <n v="86"/>
    <n v="3"/>
    <s v="HSBCSGSGPBD"/>
    <s v="SG"/>
    <s v="   "/>
    <n v="82132121340001"/>
    <s v="                              "/>
    <n v="1200000"/>
    <s v="GBP"/>
    <n v="15437647.35"/>
    <s v="ROBERT AND HANNA NUG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5262164"/>
    <n v="115262164"/>
    <n v="115262164"/>
    <s v="GB24HAND40516218776965            "/>
    <s v="CURRENT ACCOUNT                                   "/>
  </r>
  <r>
    <n v="41458876248"/>
    <s v="C7 "/>
    <x v="11"/>
    <n v="41458876248"/>
    <d v="2026-07-08T13:54:06"/>
    <n v="98"/>
    <n v="3"/>
    <s v="BOFIIE2D   "/>
    <s v="IE"/>
    <s v="   "/>
    <s v="IE73BOFI90535286857629            "/>
    <s v="                              "/>
    <n v="45000"/>
    <s v="EUR"/>
    <n v="498940.53"/>
    <s v="house depo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34675180"/>
    <n v="134675180"/>
    <n v="134675180"/>
    <s v="GB47HAND40516248304321            "/>
    <s v="CURRENT ACCOUNT                                   "/>
  </r>
  <r>
    <n v="41449008948"/>
    <s v="C7 "/>
    <x v="12"/>
    <n v="41449008948"/>
    <d v="2026-07-02T12:34:00"/>
    <n v="69"/>
    <n v="3"/>
    <s v="           "/>
    <s v="GB"/>
    <s v="   "/>
    <n v="9204083"/>
    <n v="40075"/>
    <n v="340000"/>
    <s v="GBP"/>
    <n v="4387868.55"/>
    <s v="Tfr Hdlsb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2592674"/>
    <n v="142592674"/>
    <n v="142592674"/>
    <s v="GB31HAND40516237199079            "/>
    <s v="DEPOSIT ACCOUNT                                   "/>
  </r>
  <r>
    <n v="41461960579"/>
    <s v="C7 "/>
    <x v="12"/>
    <n v="41461960579"/>
    <d v="2026-07-10T11:45:56"/>
    <n v="69"/>
    <n v="3"/>
    <s v="HBUKGB41CM1"/>
    <s v="GB"/>
    <s v="   "/>
    <n v="77461029"/>
    <n v="401276"/>
    <n v="48500"/>
    <s v="GBP"/>
    <n v="625916.52"/>
    <s v="LOAN REPAYM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8146281"/>
    <n v="118146281"/>
    <n v="118146281"/>
    <s v="GB10HAND40516234709176            "/>
    <s v="CURRENT ACCOUNT                                   "/>
  </r>
  <r>
    <n v="41472246859"/>
    <s v="C6 "/>
    <x v="12"/>
    <n v="41472246859"/>
    <d v="2026-07-16T17:50:56"/>
    <n v="69"/>
    <n v="3"/>
    <s v="RBOSGB21528"/>
    <s v="GB"/>
    <s v="   "/>
    <n v="10030747"/>
    <n v="161923"/>
    <n v="250000"/>
    <s v="GBP"/>
    <n v="3226373.98"/>
    <s v="DH to DDJ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7560732"/>
    <n v="107560732"/>
    <n v="107560732"/>
    <s v="GB94HAND40516269781991            "/>
    <s v="CURRENT ACCOUNT                                   "/>
  </r>
  <r>
    <n v="41474001223"/>
    <s v="C8 "/>
    <x v="12"/>
    <n v="41474001223"/>
    <d v="2026-07-17T18:46:35"/>
    <n v="69"/>
    <n v="3"/>
    <s v="RBOSGB21528"/>
    <s v="GB"/>
    <s v="   "/>
    <n v="10030747"/>
    <n v="161923"/>
    <n v="250000"/>
    <s v="GBP"/>
    <n v="3226373.98"/>
    <s v="DH to DDJ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7560732"/>
    <n v="107560732"/>
    <n v="107560732"/>
    <s v="GB94HAND40516269781991            "/>
    <s v="CURRENT ACCOUNT                                   "/>
  </r>
  <r>
    <n v="41479518456"/>
    <s v="C7 "/>
    <x v="12"/>
    <n v="41479518456"/>
    <d v="2026-07-21T13:40:15"/>
    <n v="69"/>
    <n v="3"/>
    <s v="MIDLGB2196K"/>
    <s v="GB"/>
    <s v="   "/>
    <n v="24993780"/>
    <n v="403232"/>
    <n v="690000"/>
    <s v="GBP"/>
    <n v="8959539.5399999991"/>
    <s v="FL796856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5434856"/>
    <n v="105434856"/>
    <n v="105434856"/>
    <s v="GB41HAND40516289421662            "/>
    <s v="DEPOSIT ACCOUNT 2                                 "/>
  </r>
  <r>
    <n v="41502622988"/>
    <s v="C7 "/>
    <x v="12"/>
    <n v="41502622988"/>
    <d v="2026-08-03T15:09:14"/>
    <n v="69"/>
    <n v="3"/>
    <s v="MIDLGB2196K"/>
    <s v="GB"/>
    <s v="   "/>
    <n v="9017860"/>
    <n v="403232"/>
    <n v="500000"/>
    <s v="GBP"/>
    <n v="6492420.0099999998"/>
    <s v="FL9762498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8407818"/>
    <n v="108407818"/>
    <n v="108407818"/>
    <s v="GB77HAND40516220597283            "/>
    <s v="CURRENT ACCOUNT                                   "/>
  </r>
  <r>
    <n v="41505232361"/>
    <s v="C7 "/>
    <x v="12"/>
    <n v="41505232361"/>
    <d v="2026-08-05T10:39:32"/>
    <n v="69"/>
    <n v="3"/>
    <s v="NWBKGB2135J"/>
    <s v="GB"/>
    <s v="   "/>
    <n v="67752705"/>
    <n v="536123"/>
    <n v="125000"/>
    <s v="GBP"/>
    <n v="1623104.98"/>
    <s v="Loan PA AM Barrat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5992786"/>
    <n v="115992786"/>
    <n v="115992786"/>
    <s v="GB20HAND40516224577928            "/>
    <s v="CURRENT ACCOUNT                                   "/>
  </r>
  <r>
    <n v="41507370412"/>
    <s v="C7 "/>
    <x v="12"/>
    <n v="41507370412"/>
    <d v="2026-08-06T15:48:39"/>
    <n v="69"/>
    <n v="3"/>
    <s v="NWBKGB2113S"/>
    <s v="GB"/>
    <s v="   "/>
    <n v="94457662"/>
    <n v="10541"/>
    <n v="131250"/>
    <s v="GBP"/>
    <n v="1704260.23"/>
    <s v="emmerson heritan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3220075"/>
    <n v="103220075"/>
    <n v="103220075"/>
    <s v="GB96HAND40516263169562            "/>
    <s v="CURRENT ACCOUNT                                   "/>
  </r>
  <r>
    <n v="41486224304"/>
    <s v="C6 "/>
    <x v="13"/>
    <n v="41486224304"/>
    <d v="2026-07-24T20:35:21"/>
    <n v="115"/>
    <n v="3"/>
    <s v="           "/>
    <s v="GB"/>
    <s v="   "/>
    <n v="26180505"/>
    <n v="608407"/>
    <n v="100000"/>
    <s v="GBP"/>
    <n v="1298483.98"/>
    <s v="Chase AC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86220957"/>
    <s v="C6 "/>
    <x v="13"/>
    <n v="41486220957"/>
    <d v="2026-07-24T20:33:07"/>
    <n v="115"/>
    <n v="3"/>
    <s v="           "/>
    <s v="GB"/>
    <s v="   "/>
    <n v="26180505"/>
    <n v="608407"/>
    <n v="100000"/>
    <s v="GBP"/>
    <n v="1298483.98"/>
    <s v="Chase AC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86224304"/>
    <s v="C6 "/>
    <x v="14"/>
    <n v="41486224304"/>
    <d v="2026-07-24T20:35:21"/>
    <n v="115"/>
    <n v="3"/>
    <s v="           "/>
    <s v="GB"/>
    <s v="   "/>
    <n v="26180505"/>
    <n v="608407"/>
    <n v="100000"/>
    <s v="GBP"/>
    <n v="1298483.98"/>
    <s v="Chase AC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47045903"/>
    <s v="C7 "/>
    <x v="15"/>
    <n v="41447045903"/>
    <d v="2026-07-01T11:29:41"/>
    <n v="86"/>
    <n v="3"/>
    <s v="HSBCSGSGPBD"/>
    <s v="SG"/>
    <s v="   "/>
    <n v="82132121340001"/>
    <s v="                              "/>
    <n v="1200000"/>
    <s v="GBP"/>
    <n v="15437647.35"/>
    <s v="ROBERT AND HANNA NUG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5262164"/>
    <n v="115262164"/>
    <n v="115262164"/>
    <s v="GB24HAND40516218776965            "/>
    <s v="CURRENT ACCOUNT                                   "/>
  </r>
  <r>
    <n v="41446939640"/>
    <s v="C7 "/>
    <x v="15"/>
    <n v="41446939640"/>
    <d v="2026-07-01T10:39:16"/>
    <n v="69"/>
    <n v="3"/>
    <s v="           "/>
    <s v="GB"/>
    <s v="   "/>
    <n v="80432571"/>
    <n v="200771"/>
    <n v="1500000"/>
    <s v="GBP"/>
    <n v="19297059.140000001"/>
    <s v="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88738513"/>
    <n v="88738513"/>
    <n v="88738513"/>
    <s v="GB12HAND40516238616979            "/>
    <s v="DEPOSIT ACCOUNT                                   "/>
  </r>
  <r>
    <n v="41479581129"/>
    <s v="C7 "/>
    <x v="15"/>
    <n v="41479581129"/>
    <d v="2026-07-21T14:09:31"/>
    <n v="69"/>
    <n v="3"/>
    <s v="           "/>
    <s v="GB"/>
    <s v="   "/>
    <n v="31682626"/>
    <n v="40075"/>
    <n v="1280000"/>
    <s v="GBP"/>
    <n v="16620595.1"/>
    <s v="Rasm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3290936"/>
    <n v="113290936"/>
    <n v="113290936"/>
    <s v="GB23HAND40516265532535            "/>
    <s v="CURRENT ACCOUNT                                   "/>
  </r>
  <r>
    <n v="41492029854"/>
    <s v="C7 "/>
    <x v="15"/>
    <n v="41492029854"/>
    <d v="2026-07-28T04:49:49"/>
    <n v="69"/>
    <n v="3"/>
    <s v="           "/>
    <s v="GB"/>
    <s v="   "/>
    <n v="5048715"/>
    <n v="404875"/>
    <n v="3899990"/>
    <s v="GBP"/>
    <n v="50640745.969999999"/>
    <s v="FBO Zim Fam Tru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1696480"/>
    <n v="111696480"/>
    <n v="111696480"/>
    <s v="GB65HAND40516246794580            "/>
    <s v="CURRENT ACCOUNT                                   "/>
  </r>
  <r>
    <n v="41505261918"/>
    <s v="C7 "/>
    <x v="15"/>
    <n v="41505261918"/>
    <d v="2026-08-05T10:55:33"/>
    <n v="69"/>
    <n v="3"/>
    <s v="LOYDGB21137"/>
    <s v="GB"/>
    <s v="   "/>
    <n v="12517060"/>
    <n v="309493"/>
    <n v="1999000"/>
    <s v="GBP"/>
    <n v="25956695.010000002"/>
    <s v=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88738513"/>
    <n v="88738513"/>
    <n v="88738513"/>
    <s v="GB12HAND40516238616979            "/>
    <s v="DEPOSIT ACCOUNT                                   "/>
  </r>
  <r>
    <n v="41447927653"/>
    <s v="C7 "/>
    <x v="16"/>
    <n v="41447927653"/>
    <d v="2026-07-01T18:13:36"/>
    <n v="115"/>
    <n v="3"/>
    <s v="           "/>
    <s v="GB"/>
    <s v="   "/>
    <n v="56183501"/>
    <n v="600155"/>
    <n v="100000"/>
    <s v="GBP"/>
    <n v="1286470.56"/>
    <s v="MR MARK WATS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3570774"/>
    <n v="113570774"/>
    <n v="113570774"/>
    <s v="GB43HAND40516263930414            "/>
    <s v="DEPOSIT ACCOUNT NO 2                              "/>
  </r>
  <r>
    <n v="41447679199"/>
    <s v="C7 "/>
    <x v="16"/>
    <n v="41447679199"/>
    <d v="2026-07-01T16:13:02"/>
    <n v="115"/>
    <n v="3"/>
    <s v="           "/>
    <s v="GB"/>
    <s v="   "/>
    <n v="9204083"/>
    <n v="40075"/>
    <n v="50000"/>
    <s v="GBP"/>
    <n v="643235.32999999996"/>
    <s v="Tfr Hdlsb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2592674"/>
    <n v="142592674"/>
    <n v="142592674"/>
    <s v="GB31HAND40516237199079            "/>
    <s v="DEPOSIT ACCOUNT                                   "/>
  </r>
  <r>
    <n v="41447499790"/>
    <s v="C6 "/>
    <x v="16"/>
    <n v="41447499790"/>
    <d v="2026-07-01T14:51:00"/>
    <n v="115"/>
    <n v="3"/>
    <s v="BCYPGB2LXXX"/>
    <s v="GB"/>
    <s v="   "/>
    <n v="23901216"/>
    <n v="406377"/>
    <n v="61286.07"/>
    <s v="GBP"/>
    <n v="788427.31"/>
    <s v="Cyn2Y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9309359"/>
    <n v="119309359"/>
    <n v="119309359"/>
    <s v="GB74HAND40516260527581            "/>
    <s v="CURRENT ACCOUNT                                   "/>
  </r>
  <r>
    <n v="41447332030"/>
    <s v="C7 "/>
    <x v="16"/>
    <n v="41447332030"/>
    <d v="2026-07-01T13:33:53"/>
    <n v="115"/>
    <n v="3"/>
    <s v="           "/>
    <s v="GB"/>
    <s v="   "/>
    <n v="9204083"/>
    <n v="40075"/>
    <n v="50000"/>
    <s v="GBP"/>
    <n v="643235.32999999996"/>
    <s v="Tfr Hdlsb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2592674"/>
    <n v="142592674"/>
    <n v="142592674"/>
    <s v="GB31HAND40516237199079            "/>
    <s v="DEPOSIT ACCOUNT                                   "/>
  </r>
  <r>
    <n v="41446618157"/>
    <s v="C7 "/>
    <x v="16"/>
    <n v="41446618157"/>
    <d v="2026-07-01T06:39:17"/>
    <n v="115"/>
    <n v="3"/>
    <s v="           "/>
    <s v="GB"/>
    <s v="   "/>
    <n v="10779032"/>
    <n v="201854"/>
    <n v="50000"/>
    <s v="GBP"/>
    <n v="643235.32999999996"/>
    <s v="Tfr Hbnk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2592674"/>
    <n v="142592674"/>
    <n v="142592674"/>
    <s v="GB31HAND40516237199079            "/>
    <s v="DEPOSIT ACCOUNT                                   "/>
  </r>
  <r>
    <n v="41449578507"/>
    <s v="C7 "/>
    <x v="16"/>
    <n v="41449578507"/>
    <d v="2026-07-02T16:50:44"/>
    <n v="115"/>
    <n v="3"/>
    <s v="           "/>
    <s v="GB"/>
    <s v="   "/>
    <n v="61658919"/>
    <n v="406437"/>
    <n v="90000"/>
    <s v="GBP"/>
    <n v="1161494.57"/>
    <s v="Vi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86816444"/>
    <n v="86816444"/>
    <n v="86816444"/>
    <s v="GB35HAND40516249169001            "/>
    <s v="CURRENT ACCOUNT                                   "/>
  </r>
  <r>
    <n v="41448593472"/>
    <s v="C6 "/>
    <x v="16"/>
    <n v="41448593472"/>
    <d v="2026-07-02T08:58:23"/>
    <n v="115"/>
    <n v="3"/>
    <s v="           "/>
    <s v="GB"/>
    <s v="   "/>
    <n v="9204083"/>
    <n v="40075"/>
    <n v="50000"/>
    <s v="GBP"/>
    <n v="645274.81999999995"/>
    <s v="Tfr Hdlsb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2592674"/>
    <n v="142592674"/>
    <n v="142592674"/>
    <s v="GB31HAND40516237199079            "/>
    <s v="DEPOSIT ACCOUNT                                   "/>
  </r>
  <r>
    <n v="41451779027"/>
    <s v="C7 "/>
    <x v="16"/>
    <n v="41451779027"/>
    <d v="2026-07-03T20:30:14"/>
    <n v="115"/>
    <n v="3"/>
    <s v="           "/>
    <s v="GB"/>
    <s v="   "/>
    <n v="20881107"/>
    <n v="236247"/>
    <n v="100000"/>
    <s v="GBP"/>
    <n v="1290549.53"/>
    <s v="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7621456"/>
    <n v="127621456"/>
    <n v="127621456"/>
    <s v="GB86HAND40516239994890            "/>
    <s v="CURRENT ACCOUNT                                   "/>
  </r>
  <r>
    <n v="41451347753"/>
    <s v="C6 "/>
    <x v="16"/>
    <n v="41451347753"/>
    <d v="2026-07-03T16:20:08"/>
    <n v="115"/>
    <n v="3"/>
    <s v="           "/>
    <s v="GB"/>
    <s v="   "/>
    <n v="16281625"/>
    <n v="608407"/>
    <n v="100000"/>
    <s v="GBP"/>
    <n v="1290549.53"/>
    <s v="depo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533080"/>
    <n v="128533080"/>
    <n v="128533080"/>
    <s v="GB42HAND40516287347008            "/>
    <s v="CURRENT ACCOUNT MORTGAGE                          "/>
  </r>
  <r>
    <n v="41451344908"/>
    <s v="C7 "/>
    <x v="16"/>
    <n v="41451344908"/>
    <d v="2026-07-03T16:18:56"/>
    <n v="115"/>
    <n v="3"/>
    <s v="           "/>
    <s v="GB"/>
    <s v="   "/>
    <n v="16281625"/>
    <n v="608407"/>
    <n v="100000"/>
    <s v="GBP"/>
    <n v="1290549.53"/>
    <s v="depo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533080"/>
    <n v="128533080"/>
    <n v="128533080"/>
    <s v="GB42HAND40516287347008            "/>
    <s v="CURRENT ACCOUNT MORTGAGE                          "/>
  </r>
  <r>
    <n v="41451349515"/>
    <s v="C6 "/>
    <x v="16"/>
    <n v="41451349515"/>
    <d v="2026-07-03T16:20:59"/>
    <n v="115"/>
    <n v="3"/>
    <s v="           "/>
    <s v="GB"/>
    <s v="   "/>
    <n v="16281625"/>
    <n v="608407"/>
    <n v="50000"/>
    <s v="GBP"/>
    <n v="645274.81999999995"/>
    <s v="depo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533080"/>
    <n v="128533080"/>
    <n v="128533080"/>
    <s v="GB42HAND40516287347008            "/>
    <s v="CURRENT ACCOUNT MORTGAGE                          "/>
  </r>
  <r>
    <n v="41451241623"/>
    <s v="C7 "/>
    <x v="16"/>
    <n v="41451241623"/>
    <d v="2026-07-03T15:32:24"/>
    <n v="115"/>
    <n v="3"/>
    <s v="           "/>
    <s v="GB"/>
    <s v="   "/>
    <n v="16281625"/>
    <n v="608407"/>
    <n v="100000"/>
    <s v="GBP"/>
    <n v="1290549.53"/>
    <s v="depo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533080"/>
    <n v="128533080"/>
    <n v="128533080"/>
    <s v="GB42HAND40516287347008            "/>
    <s v="CURRENT ACCOUNT MORTGAGE                          "/>
  </r>
  <r>
    <n v="41450493081"/>
    <s v="C7 "/>
    <x v="16"/>
    <n v="41450493081"/>
    <d v="2026-07-03T09:56:46"/>
    <n v="115"/>
    <n v="3"/>
    <s v="SMIWGB2LXXX"/>
    <s v="GB"/>
    <s v="   "/>
    <n v="54606"/>
    <n v="165760"/>
    <n v="100000"/>
    <s v="GBP"/>
    <n v="1290549.53"/>
    <s v="Polly Evelyn Gif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2909595"/>
    <n v="102909595"/>
    <n v="102909595"/>
    <s v="GB59HAND40516222636256            "/>
    <s v="CURRENT ACCOUNT                                   "/>
  </r>
  <r>
    <n v="41450490464"/>
    <s v="C7 "/>
    <x v="16"/>
    <n v="41450490464"/>
    <d v="2026-07-03T09:55:04"/>
    <n v="115"/>
    <n v="3"/>
    <s v="SMIWGB2LXXX"/>
    <s v="GB"/>
    <s v="   "/>
    <n v="54606"/>
    <n v="165760"/>
    <n v="100000"/>
    <s v="GBP"/>
    <n v="1290549.53"/>
    <s v="Polly Evelyn Gif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2909595"/>
    <n v="102909595"/>
    <n v="102909595"/>
    <s v="GB59HAND40516222636256            "/>
    <s v="CURRENT ACCOUNT                                   "/>
  </r>
  <r>
    <n v="41452226654"/>
    <s v="C6 "/>
    <x v="16"/>
    <n v="41452226654"/>
    <d v="2026-07-04T10:31:13"/>
    <n v="115"/>
    <n v="3"/>
    <s v="           "/>
    <s v="GB"/>
    <s v="   "/>
    <n v="16281625"/>
    <n v="608407"/>
    <n v="100000"/>
    <s v="GBP"/>
    <n v="1290549.53"/>
    <s v="depo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533080"/>
    <n v="128533080"/>
    <n v="128533080"/>
    <s v="GB42HAND40516287347008            "/>
    <s v="CURRENT ACCOUNT MORTGAGE                          "/>
  </r>
  <r>
    <n v="41456137866"/>
    <s v="C7 "/>
    <x v="16"/>
    <n v="41456137866"/>
    <d v="2026-07-06T19:04:05"/>
    <n v="115"/>
    <n v="3"/>
    <s v="           "/>
    <s v="GB"/>
    <s v="   "/>
    <n v="50254528"/>
    <n v="41333"/>
    <n v="60000"/>
    <s v="GBP"/>
    <n v="774329.78"/>
    <s v="Savings ThisBa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4795784"/>
    <n v="114795784"/>
    <n v="114795784"/>
    <s v="GB64HAND40516240139622            "/>
    <s v="DEPOSIT ACCOUNT                                   "/>
  </r>
  <r>
    <n v="41455938889"/>
    <s v="C7 "/>
    <x v="16"/>
    <n v="41455938889"/>
    <d v="2026-07-06T17:07:48"/>
    <n v="115"/>
    <n v="3"/>
    <s v="           "/>
    <s v="GB"/>
    <s v="   "/>
    <n v="60372471"/>
    <n v="209056"/>
    <n v="55000"/>
    <s v="GBP"/>
    <n v="709802.3"/>
    <s v="Brookes 835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35227809"/>
    <n v="135227809"/>
    <n v="135227809"/>
    <s v="GB25HAND40516249805016            "/>
    <s v="CURRENT ACCOUNT                                   "/>
  </r>
  <r>
    <n v="41455562425"/>
    <s v="C7 "/>
    <x v="16"/>
    <n v="41455562425"/>
    <d v="2026-07-06T14:08:01"/>
    <n v="115"/>
    <n v="3"/>
    <s v="           "/>
    <s v="GB"/>
    <s v="   "/>
    <n v="50254528"/>
    <n v="41333"/>
    <n v="59000"/>
    <s v="GBP"/>
    <n v="761424.28"/>
    <s v="Savings ThisBa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4795784"/>
    <n v="114795784"/>
    <n v="114795784"/>
    <s v="GB64HAND40516240139622            "/>
    <s v="DEPOSIT ACCOUNT                                   "/>
  </r>
  <r>
    <n v="41455493035"/>
    <s v="C7 "/>
    <x v="16"/>
    <n v="41455493035"/>
    <d v="2026-07-06T13:38:08"/>
    <n v="115"/>
    <n v="3"/>
    <s v="           "/>
    <s v="GB"/>
    <s v="   "/>
    <n v="54008774"/>
    <n v="90643"/>
    <n v="50000"/>
    <s v="GBP"/>
    <n v="645274.81999999995"/>
    <s v="Savings (Cahoot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0919394"/>
    <n v="120919394"/>
    <n v="120919394"/>
    <s v="GB42HAND40516212423723            "/>
    <s v="CURRENT ACCOUNT                                   "/>
  </r>
  <r>
    <n v="41457559096"/>
    <s v="C7 "/>
    <x v="16"/>
    <n v="41457559096"/>
    <d v="2026-07-07T16:38:04"/>
    <n v="115"/>
    <n v="3"/>
    <s v="           "/>
    <s v="GB"/>
    <s v="   "/>
    <n v="50254528"/>
    <n v="41333"/>
    <n v="80000"/>
    <s v="GBP"/>
    <n v="1032439.7"/>
    <s v="Savings ThisBa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4795784"/>
    <n v="114795784"/>
    <n v="114795784"/>
    <s v="GB64HAND40516240139622            "/>
    <s v="DEPOSIT ACCOUNT                                   "/>
  </r>
  <r>
    <n v="41456954979"/>
    <s v="C6 "/>
    <x v="16"/>
    <n v="41456954979"/>
    <d v="2026-07-07T11:54:22"/>
    <n v="115"/>
    <n v="3"/>
    <s v="           "/>
    <s v="GB"/>
    <s v="   "/>
    <n v="50254528"/>
    <n v="41333"/>
    <n v="80000"/>
    <s v="GBP"/>
    <n v="1032439.7"/>
    <s v="Savings ThisBa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4795784"/>
    <n v="114795784"/>
    <n v="114795784"/>
    <s v="GB64HAND40516240139622            "/>
    <s v="DEPOSIT ACCOUNT                                   "/>
  </r>
  <r>
    <n v="41456899665"/>
    <s v="C7 "/>
    <x v="16"/>
    <n v="41456899665"/>
    <d v="2026-07-07T11:27:28"/>
    <n v="115"/>
    <n v="3"/>
    <s v="           "/>
    <s v="GB"/>
    <s v="   "/>
    <n v="85532110"/>
    <n v="608407"/>
    <n v="55000"/>
    <s v="GBP"/>
    <n v="709802.3"/>
    <s v="Patek Singap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3478273"/>
    <n v="123478273"/>
    <n v="123478273"/>
    <s v="GB86HAND40516229778656            "/>
    <s v="CURRENT ACCOUNT                                   "/>
  </r>
  <r>
    <n v="41458656962"/>
    <s v="C7 "/>
    <x v="16"/>
    <n v="41458656962"/>
    <d v="2026-07-08T12:08:50"/>
    <n v="115"/>
    <n v="3"/>
    <s v="           "/>
    <s v="GB"/>
    <s v="   "/>
    <n v="12775154"/>
    <n v="406437"/>
    <n v="89861"/>
    <s v="GBP"/>
    <n v="1159700.77"/>
    <s v="saving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7919482"/>
    <n v="107919482"/>
    <n v="107919482"/>
    <s v="GB07HAND40516240247930            "/>
    <s v="SOLE CURRENT ACCOUNT                              "/>
  </r>
  <r>
    <n v="41458638970"/>
    <s v="C7 "/>
    <x v="16"/>
    <n v="41458638970"/>
    <d v="2026-07-08T12:00:14"/>
    <n v="115"/>
    <n v="3"/>
    <s v="           "/>
    <s v="GB"/>
    <s v="   "/>
    <n v="61949425"/>
    <n v="406437"/>
    <n v="49990"/>
    <s v="GBP"/>
    <n v="645145.71"/>
    <s v="RAP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8924208"/>
    <n v="118924208"/>
    <n v="118924208"/>
    <s v="GB59HAND40516276826373            "/>
    <s v="CURRENT ACCOUNT                                   "/>
  </r>
  <r>
    <n v="41458164248"/>
    <s v="C7 "/>
    <x v="16"/>
    <n v="41458164248"/>
    <d v="2026-07-08T01:16:08"/>
    <n v="115"/>
    <n v="3"/>
    <s v="YORKGB21200"/>
    <s v="GB"/>
    <s v="   "/>
    <n v="13389011"/>
    <n v="50200"/>
    <n v="50000"/>
    <s v="GBP"/>
    <n v="645274.81999999995"/>
    <s v="Directors 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5587352"/>
    <n v="125587352"/>
    <n v="125587352"/>
    <s v="GB98HAND40516267160882            "/>
    <s v="CURRENT ACCOUNT                                   "/>
  </r>
  <r>
    <n v="41461001762"/>
    <s v="C7 "/>
    <x v="16"/>
    <n v="41461001762"/>
    <d v="2026-07-09T17:47:01"/>
    <n v="115"/>
    <n v="3"/>
    <s v="HBUKGB4151R"/>
    <s v="GB"/>
    <s v="   "/>
    <n v="1487140"/>
    <n v="403823"/>
    <n v="50000"/>
    <s v="GBP"/>
    <n v="645274.81999999995"/>
    <s v="Sophie gif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2032156"/>
    <n v="112032156"/>
    <n v="112032156"/>
    <s v="GB73HAND40516282107771            "/>
    <s v="CURRENT ACCOUNT                                   "/>
  </r>
  <r>
    <n v="41462835117"/>
    <s v="C7 "/>
    <x v="16"/>
    <n v="41462835117"/>
    <d v="2026-07-10T18:46:35"/>
    <n v="115"/>
    <n v="3"/>
    <s v="MIDLGB2196K"/>
    <s v="GB"/>
    <s v="   "/>
    <n v="10235121"/>
    <n v="403232"/>
    <n v="100000"/>
    <s v="GBP"/>
    <n v="1290549.53"/>
    <s v="PA273125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8525652"/>
    <n v="148525652"/>
    <n v="148525652"/>
    <s v="GB31HAND40516213470842            "/>
    <s v="CURRENT ACCOUNT                                   "/>
  </r>
  <r>
    <n v="41462850655"/>
    <s v="C6 "/>
    <x v="16"/>
    <n v="41462850655"/>
    <d v="2026-07-10T18:56:19"/>
    <n v="115"/>
    <n v="3"/>
    <s v="MIDLGB2196K"/>
    <s v="GB"/>
    <s v="   "/>
    <n v="10235121"/>
    <n v="403232"/>
    <n v="80000"/>
    <s v="GBP"/>
    <n v="1032439.7"/>
    <s v="PA273125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8525652"/>
    <n v="148525652"/>
    <n v="148525652"/>
    <s v="GB31HAND40516213470842            "/>
    <s v="CURRENT ACCOUNT                                   "/>
  </r>
  <r>
    <n v="41462839274"/>
    <s v="C7 "/>
    <x v="16"/>
    <n v="41462839274"/>
    <d v="2026-07-10T18:49:28"/>
    <n v="115"/>
    <n v="3"/>
    <s v="MIDLGB2196K"/>
    <s v="GB"/>
    <s v="   "/>
    <n v="10235121"/>
    <n v="403232"/>
    <n v="100000"/>
    <s v="GBP"/>
    <n v="1290549.53"/>
    <s v="PA273125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8525652"/>
    <n v="148525652"/>
    <n v="148525652"/>
    <s v="GB31HAND40516213470842            "/>
    <s v="CURRENT ACCOUNT                                   "/>
  </r>
  <r>
    <n v="41462004245"/>
    <s v="C7 "/>
    <x v="16"/>
    <n v="41462004245"/>
    <d v="2026-07-10T12:05:52"/>
    <n v="115"/>
    <n v="3"/>
    <s v="           "/>
    <s v="GB"/>
    <s v="   "/>
    <n v="6666272"/>
    <n v="180002"/>
    <n v="80000"/>
    <s v="GBP"/>
    <n v="1032439.7"/>
    <s v="GMC/49SYDNE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0380607"/>
    <n v="110380607"/>
    <n v="110380607"/>
    <s v="GB67HAND40516274059886            "/>
    <s v="DEPOSIT ACCOUNT                                   "/>
  </r>
  <r>
    <n v="41464172459"/>
    <s v="C7 "/>
    <x v="16"/>
    <n v="41464172459"/>
    <d v="2026-07-11T17:24:02"/>
    <n v="115"/>
    <n v="3"/>
    <s v="           "/>
    <s v="GB"/>
    <s v="   "/>
    <n v="54044309"/>
    <n v="90643"/>
    <n v="49000"/>
    <s v="GBP"/>
    <n v="632369.31999999995"/>
    <s v="Saving Acc Caho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4795784"/>
    <n v="114795784"/>
    <n v="114795784"/>
    <s v="GB64HAND40516240139622            "/>
    <s v="DEPOSIT ACCOUNT                                   "/>
  </r>
  <r>
    <n v="41463745341"/>
    <s v="C6 "/>
    <x v="16"/>
    <n v="41463745341"/>
    <d v="2026-07-11T13:15:23"/>
    <n v="115"/>
    <n v="3"/>
    <s v="MIDLGB2196K"/>
    <s v="GB"/>
    <s v="   "/>
    <n v="10235121"/>
    <n v="403232"/>
    <n v="80000"/>
    <s v="GBP"/>
    <n v="1032439.7"/>
    <s v="PA273125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8525652"/>
    <n v="148525652"/>
    <n v="148525652"/>
    <s v="GB31HAND40516213470842            "/>
    <s v="CURRENT ACCOUNT                                   "/>
  </r>
  <r>
    <n v="41463601364"/>
    <s v="C6 "/>
    <x v="16"/>
    <n v="41463601364"/>
    <d v="2026-07-11T12:06:15"/>
    <n v="115"/>
    <n v="3"/>
    <s v="HBUKGB4153L"/>
    <s v="GB"/>
    <s v="   "/>
    <n v="51396080"/>
    <n v="404031"/>
    <n v="100000"/>
    <s v="GBP"/>
    <n v="1290549.53"/>
    <s v="GIFT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6573514"/>
    <n v="146573514"/>
    <n v="146573514"/>
    <s v="GB84HAND40516234456032            "/>
    <s v="DEPOSIT ACCOUNT                                   "/>
  </r>
  <r>
    <n v="41463610727"/>
    <s v="C6 "/>
    <x v="16"/>
    <n v="41463610727"/>
    <d v="2026-07-11T12:10:37"/>
    <n v="115"/>
    <n v="3"/>
    <s v="HBUKGB4153L"/>
    <s v="GB"/>
    <s v="   "/>
    <n v="51396080"/>
    <n v="404031"/>
    <n v="95000"/>
    <s v="GBP"/>
    <n v="1226022.05"/>
    <s v="GIFT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6573514"/>
    <n v="146573514"/>
    <n v="146573514"/>
    <s v="GB84HAND40516234456032            "/>
    <s v="DEPOSIT ACCOUNT                                   "/>
  </r>
  <r>
    <n v="41463594320"/>
    <s v="C7 "/>
    <x v="16"/>
    <n v="41463594320"/>
    <d v="2026-07-11T12:03:03"/>
    <n v="115"/>
    <n v="3"/>
    <s v="NWBKGB2118W"/>
    <s v="GB"/>
    <s v="   "/>
    <n v="57317232"/>
    <n v="555010"/>
    <n v="100000"/>
    <s v="GBP"/>
    <n v="1290549.53"/>
    <s v="GIFT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6573514"/>
    <n v="146573514"/>
    <n v="146573514"/>
    <s v="GB84HAND40516234456032            "/>
    <s v="DEPOSIT ACCOUNT                                   "/>
  </r>
  <r>
    <n v="41463606609"/>
    <s v="C6 "/>
    <x v="16"/>
    <n v="41463606609"/>
    <d v="2026-07-11T12:08:46"/>
    <n v="115"/>
    <n v="3"/>
    <s v="NWBKGB2118W"/>
    <s v="GB"/>
    <s v="   "/>
    <n v="57317232"/>
    <n v="555010"/>
    <n v="100000"/>
    <s v="GBP"/>
    <n v="1290549.53"/>
    <s v="GIFT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6573514"/>
    <n v="146573514"/>
    <n v="146573514"/>
    <s v="GB84HAND40516234456032            "/>
    <s v="DEPOSIT ACCOUNT                                   "/>
  </r>
  <r>
    <n v="41463253599"/>
    <s v="C7 "/>
    <x v="16"/>
    <n v="41463253599"/>
    <d v="2026-07-11T07:01:03"/>
    <n v="115"/>
    <n v="3"/>
    <s v="           "/>
    <s v="GB"/>
    <s v="   "/>
    <n v="70368032"/>
    <n v="165873"/>
    <n v="100000"/>
    <s v="GBP"/>
    <n v="1290549.53"/>
    <s v="Saving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1421915"/>
    <n v="101421915"/>
    <n v="101421915"/>
    <s v="GB16HAND40516253720001            "/>
    <s v="CURRENT ACCOUNT                                   "/>
  </r>
  <r>
    <n v="41466461015"/>
    <s v="C7 "/>
    <x v="16"/>
    <n v="41466461015"/>
    <d v="2026-07-13T13:24:35"/>
    <n v="115"/>
    <n v="3"/>
    <s v="MYMBGB2LXXX"/>
    <s v="GB"/>
    <s v="   "/>
    <n v="58219401"/>
    <n v="230580"/>
    <n v="60000"/>
    <s v="GBP"/>
    <n v="774329.78"/>
    <s v="Funds Transfer 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35057461"/>
    <n v="135057461"/>
    <n v="135057461"/>
    <s v="GB87HAND40516238666845            "/>
    <s v="DEPOSIT ACCOUNT                                   "/>
  </r>
  <r>
    <n v="41469373194"/>
    <s v="C7 "/>
    <x v="16"/>
    <n v="41469373194"/>
    <d v="2026-07-15T12:00:58"/>
    <n v="115"/>
    <n v="3"/>
    <s v="HBUKGB4166F"/>
    <s v="GB"/>
    <s v="   "/>
    <n v="91378988"/>
    <n v="403416"/>
    <n v="76990"/>
    <s v="GBP"/>
    <n v="993594.11"/>
    <s v="Karen HSBC acc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8071459"/>
    <n v="148071459"/>
    <n v="148071459"/>
    <s v="GB95HAND40516227722094            "/>
    <s v="EXECUTORS OF JOAN VERRILL ACCOUNT                 "/>
  </r>
  <r>
    <n v="41473974572"/>
    <s v="C7 "/>
    <x v="16"/>
    <n v="41473974572"/>
    <d v="2026-07-17T18:29:16"/>
    <n v="115"/>
    <n v="3"/>
    <s v="           "/>
    <s v="GB"/>
    <s v="   "/>
    <n v="63246516"/>
    <n v="608407"/>
    <n v="90000"/>
    <s v="GBP"/>
    <n v="1161494.57"/>
    <s v="17/07 Cunningha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3075137"/>
    <n v="123075137"/>
    <n v="123075137"/>
    <s v="GB75HAND40516253213278            "/>
    <s v="CURRENT ACCOUNT                                   "/>
  </r>
  <r>
    <n v="41473704457"/>
    <s v="C7 "/>
    <x v="16"/>
    <n v="41473704457"/>
    <d v="2026-07-17T15:56:36"/>
    <n v="115"/>
    <n v="3"/>
    <s v="           "/>
    <s v="GB"/>
    <s v="   "/>
    <n v="26406586"/>
    <n v="608456"/>
    <n v="85000"/>
    <s v="GBP"/>
    <n v="1096967.19"/>
    <s v="KRBS issue2 ltd a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96716188"/>
    <n v="96716188"/>
    <n v="96716188"/>
    <s v="GB95HAND40516247387001            "/>
    <s v="CURRENT ACCOUNT                                   "/>
  </r>
  <r>
    <n v="41480028554"/>
    <s v="C7 "/>
    <x v="16"/>
    <n v="41480028554"/>
    <d v="2026-07-21T18:00:52"/>
    <n v="115"/>
    <n v="3"/>
    <s v="           "/>
    <s v="GB"/>
    <s v="   "/>
    <n v="58200138"/>
    <n v="608407"/>
    <n v="50000"/>
    <s v="GBP"/>
    <n v="649241.99"/>
    <s v="House gift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5353056"/>
    <n v="105353056"/>
    <n v="105353056"/>
    <s v="GB17HAND40516217711061            "/>
    <s v="CURRENT ACCOUNT                                   "/>
  </r>
  <r>
    <n v="41483437207"/>
    <s v="C7 "/>
    <x v="16"/>
    <n v="41483437207"/>
    <d v="2026-07-23T18:46:06"/>
    <n v="115"/>
    <n v="3"/>
    <s v="           "/>
    <s v="GB"/>
    <s v="   "/>
    <n v="54088624"/>
    <n v="90643"/>
    <n v="75000"/>
    <s v="GBP"/>
    <n v="973862.99"/>
    <s v="Transfer HB to 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8965344"/>
    <n v="108965344"/>
    <n v="108965344"/>
    <s v="GB15HAND40516215695922            "/>
    <s v="CURRENT ACCOUNT                                   "/>
  </r>
  <r>
    <n v="41483254891"/>
    <s v="C7 "/>
    <x v="16"/>
    <n v="41483254891"/>
    <d v="2026-07-23T17:32:42"/>
    <n v="115"/>
    <n v="3"/>
    <s v="           "/>
    <s v="GB"/>
    <s v="   "/>
    <n v="73114139"/>
    <n v="406437"/>
    <n v="100000"/>
    <s v="GBP"/>
    <n v="1298483.98"/>
    <s v="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9228773"/>
    <n v="119228773"/>
    <n v="119228773"/>
    <s v="GB89HAND40516214461623            "/>
    <s v="DEPOSIT ACCOUNT                                   "/>
  </r>
  <r>
    <n v="41483244960"/>
    <s v="C8 "/>
    <x v="16"/>
    <n v="41483244960"/>
    <d v="2026-07-23T17:27:24"/>
    <n v="115"/>
    <n v="3"/>
    <s v="           "/>
    <s v="GB"/>
    <s v="   "/>
    <n v="17554591"/>
    <n v="40339"/>
    <n v="50000"/>
    <s v="GBP"/>
    <n v="649241.99"/>
    <s v="From Cahoot sav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5870745"/>
    <n v="105870745"/>
    <n v="105870745"/>
    <s v="GB18HAND40516288234505            "/>
    <s v="CURRENT ACCOUNT                                   "/>
  </r>
  <r>
    <n v="41483063386"/>
    <s v="C6 "/>
    <x v="16"/>
    <n v="41483063386"/>
    <d v="2026-07-23T15:53:26"/>
    <n v="115"/>
    <n v="3"/>
    <s v="           "/>
    <s v="GB"/>
    <s v="   "/>
    <n v="83372888"/>
    <n v="608407"/>
    <n v="80000"/>
    <s v="GBP"/>
    <n v="1038787.21"/>
    <s v="TVR payment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2720485"/>
    <n v="122720485"/>
    <n v="122720485"/>
    <s v="GB47HAND40516224759996            "/>
    <s v="CURRENT ACCOUNT                                   "/>
  </r>
  <r>
    <n v="41482548652"/>
    <s v="C7 "/>
    <x v="16"/>
    <n v="41482548652"/>
    <d v="2026-07-23T11:49:38"/>
    <n v="115"/>
    <n v="3"/>
    <s v="BOFSGBS1CTL"/>
    <s v="GB"/>
    <s v="   "/>
    <n v="13139066"/>
    <n v="804887"/>
    <n v="90000"/>
    <s v="GBP"/>
    <n v="1168635.6399999999"/>
    <s v="HB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35198109"/>
    <n v="135198109"/>
    <n v="135198109"/>
    <s v="GB84HAND40516224516248            "/>
    <s v="DEPOSIT ACCOUNT                                   "/>
  </r>
  <r>
    <n v="41486213067"/>
    <s v="C6 "/>
    <x v="16"/>
    <n v="41486213067"/>
    <d v="2026-07-24T20:28:04"/>
    <n v="115"/>
    <n v="3"/>
    <s v="           "/>
    <s v="GB"/>
    <s v="   "/>
    <n v="26180505"/>
    <n v="608407"/>
    <n v="100000"/>
    <s v="GBP"/>
    <n v="1298483.98"/>
    <s v="CHA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86220957"/>
    <s v="C6 "/>
    <x v="16"/>
    <n v="41486220957"/>
    <d v="2026-07-24T20:33:07"/>
    <n v="115"/>
    <n v="3"/>
    <s v="           "/>
    <s v="GB"/>
    <s v="   "/>
    <n v="26180505"/>
    <n v="608407"/>
    <n v="100000"/>
    <s v="GBP"/>
    <n v="1298483.98"/>
    <s v="Chase AC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86224304"/>
    <s v="C6 "/>
    <x v="16"/>
    <n v="41486224304"/>
    <d v="2026-07-24T20:35:21"/>
    <n v="115"/>
    <n v="3"/>
    <s v="           "/>
    <s v="GB"/>
    <s v="   "/>
    <n v="26180505"/>
    <n v="608407"/>
    <n v="100000"/>
    <s v="GBP"/>
    <n v="1298483.98"/>
    <s v="Chase AC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86216916"/>
    <s v="C6 "/>
    <x v="16"/>
    <n v="41486216916"/>
    <d v="2026-07-24T20:30:36"/>
    <n v="115"/>
    <n v="3"/>
    <s v="           "/>
    <s v="GB"/>
    <s v="   "/>
    <n v="26180505"/>
    <n v="608407"/>
    <n v="100000"/>
    <s v="GBP"/>
    <n v="1298483.98"/>
    <s v="CHA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85691443"/>
    <s v="C7 "/>
    <x v="16"/>
    <n v="41485691443"/>
    <d v="2026-07-24T16:09:37"/>
    <n v="115"/>
    <n v="3"/>
    <s v="           "/>
    <s v="GB"/>
    <s v="   "/>
    <n v="81635056"/>
    <n v="406437"/>
    <n v="50000"/>
    <s v="GBP"/>
    <n v="649241.99"/>
    <s v="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1862155"/>
    <n v="121862155"/>
    <n v="121862155"/>
    <s v="GB90HAND40516238708986            "/>
    <s v="CURRENT ACCOUNT                                   "/>
  </r>
  <r>
    <n v="41488362553"/>
    <s v="C7 "/>
    <x v="16"/>
    <n v="41488362553"/>
    <d v="2026-07-26T10:03:23"/>
    <n v="115"/>
    <n v="3"/>
    <s v="           "/>
    <s v="GB"/>
    <s v="   "/>
    <n v="12647717"/>
    <n v="608407"/>
    <n v="75000"/>
    <s v="GBP"/>
    <n v="973862.99"/>
    <s v="House Gif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6134032"/>
    <n v="116134032"/>
    <n v="116134032"/>
    <s v="GB32HAND40516252228338            "/>
    <s v="DEPOSIT ACCOUNT                                   "/>
  </r>
  <r>
    <n v="41493575842"/>
    <s v="C7 "/>
    <x v="16"/>
    <n v="41493575842"/>
    <d v="2026-07-28T21:12:50"/>
    <n v="115"/>
    <n v="3"/>
    <s v="           "/>
    <s v="GB"/>
    <s v="   "/>
    <n v="13117510"/>
    <n v="608407"/>
    <n v="100000"/>
    <s v="GBP"/>
    <n v="1298483.98"/>
    <s v="To Chase saving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9625572"/>
    <n v="119625572"/>
    <n v="119625572"/>
    <s v="GB68HAND40516210545335            "/>
    <s v="CURRENT ACCOUNT                                   "/>
  </r>
  <r>
    <n v="41492875280"/>
    <s v="C7 "/>
    <x v="16"/>
    <n v="41492875280"/>
    <d v="2026-07-28T14:43:38"/>
    <n v="115"/>
    <n v="3"/>
    <s v="           "/>
    <s v="GB"/>
    <s v="   "/>
    <n v="93115724"/>
    <n v="609204"/>
    <n v="80000"/>
    <s v="GBP"/>
    <n v="1038787.21"/>
    <s v="93115724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0114752"/>
    <n v="140114752"/>
    <n v="140114752"/>
    <s v="GB89HAND40516263895733            "/>
    <s v="CURRENT ACCOUNT                                   "/>
  </r>
  <r>
    <n v="41494751270"/>
    <s v="C7 "/>
    <x v="16"/>
    <n v="41494751270"/>
    <d v="2026-07-29T14:01:23"/>
    <n v="115"/>
    <n v="3"/>
    <s v="           "/>
    <s v="GB"/>
    <s v="   "/>
    <n v="89260625"/>
    <n v="230120"/>
    <n v="75000"/>
    <s v="GBP"/>
    <n v="973862.99"/>
    <s v="Revolu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0818184"/>
    <n v="110818184"/>
    <n v="110818184"/>
    <s v="GB64HAND40516215918722            "/>
    <s v="DEPOSIT ACCOUNT                                   "/>
  </r>
  <r>
    <n v="41494217700"/>
    <s v="C7 "/>
    <x v="16"/>
    <n v="41494217700"/>
    <d v="2026-07-29T09:20:07"/>
    <n v="115"/>
    <n v="3"/>
    <s v="           "/>
    <s v="GB"/>
    <s v="   "/>
    <n v="89260625"/>
    <n v="230120"/>
    <n v="75000"/>
    <s v="GBP"/>
    <n v="973862.99"/>
    <s v="Revolu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0818184"/>
    <n v="110818184"/>
    <n v="110818184"/>
    <s v="GB64HAND40516215918722            "/>
    <s v="DEPOSIT ACCOUNT                                   "/>
  </r>
  <r>
    <n v="41499878714"/>
    <s v="C7 "/>
    <x v="16"/>
    <n v="41499878714"/>
    <d v="2026-08-01T16:21:09"/>
    <n v="115"/>
    <n v="3"/>
    <s v="           "/>
    <s v="GB"/>
    <s v="   "/>
    <n v="10475655"/>
    <n v="40831"/>
    <n v="50000"/>
    <s v="GBP"/>
    <n v="649241.99"/>
    <s v="Camilla Bourqu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5779995"/>
    <n v="105779995"/>
    <n v="105779995"/>
    <s v="GB17HAND40516212615263            "/>
    <s v="CURRENT ACCOUNT                                   "/>
  </r>
  <r>
    <n v="41502365582"/>
    <s v="C7 "/>
    <x v="16"/>
    <n v="41502365582"/>
    <d v="2026-08-03T13:06:28"/>
    <n v="115"/>
    <n v="3"/>
    <s v="           "/>
    <s v="GB"/>
    <s v="   "/>
    <n v="3649830"/>
    <n v="203775"/>
    <n v="100000"/>
    <s v="GBP"/>
    <n v="1298483.98"/>
    <s v="Hartla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4780263"/>
    <n v="124780263"/>
    <n v="124780263"/>
    <s v="GB78HAND40516235771945            "/>
    <s v="DEPOSIT ACCOUNT                                   "/>
  </r>
  <r>
    <n v="41504465001"/>
    <s v="C7 "/>
    <x v="16"/>
    <n v="41504465001"/>
    <d v="2026-08-04T17:21:38"/>
    <n v="115"/>
    <n v="3"/>
    <s v="CBRLGB2LXXX"/>
    <s v="GB"/>
    <s v="   "/>
    <n v="12571423"/>
    <n v="165187"/>
    <n v="100000"/>
    <s v="GBP"/>
    <n v="1298483.98"/>
    <s v="Martin HD9 6N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4115159"/>
    <n v="104115159"/>
    <n v="104115159"/>
    <s v="GB73HAND40516286347641            "/>
    <s v="CURRENT ACCOUNT                                   "/>
  </r>
  <r>
    <n v="41504240618"/>
    <s v="C7 "/>
    <x v="16"/>
    <n v="41504240618"/>
    <d v="2026-08-04T15:22:42"/>
    <n v="115"/>
    <n v="3"/>
    <s v="MYMBGB2LXXX"/>
    <s v="GB"/>
    <s v="   "/>
    <n v="43082167"/>
    <n v="230580"/>
    <n v="100000"/>
    <s v="GBP"/>
    <n v="1298483.98"/>
    <s v="3 Aug TF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30575269"/>
    <n v="130575269"/>
    <n v="130575269"/>
    <s v="GB16HAND40516235260319            "/>
    <s v="CURRENT ACCOUNT                                   "/>
  </r>
  <r>
    <n v="41506175931"/>
    <s v="C7 "/>
    <x v="16"/>
    <n v="41506175931"/>
    <d v="2026-08-05T19:14:31"/>
    <n v="115"/>
    <n v="3"/>
    <s v="HOABGB2LXXX"/>
    <s v="GB"/>
    <s v="   "/>
    <n v="80166232"/>
    <n v="159900"/>
    <n v="100000"/>
    <s v="GBP"/>
    <n v="1298483.98"/>
    <s v=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7953069"/>
    <n v="107953069"/>
    <n v="107953069"/>
    <s v="GB75HAND40516243001700            "/>
    <s v="DEPOSIT ACCOUNT                                   "/>
  </r>
  <r>
    <n v="41506176989"/>
    <s v="C7 "/>
    <x v="16"/>
    <n v="41506176989"/>
    <d v="2026-08-05T19:15:11"/>
    <n v="115"/>
    <n v="3"/>
    <s v="HOABGB2LXXX"/>
    <s v="GB"/>
    <s v="   "/>
    <n v="80166232"/>
    <n v="159900"/>
    <n v="100000"/>
    <s v="GBP"/>
    <n v="1298483.98"/>
    <s v=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7953069"/>
    <n v="107953069"/>
    <n v="107953069"/>
    <s v="GB75HAND40516243001700            "/>
    <s v="DEPOSIT ACCOUNT                                   "/>
  </r>
  <r>
    <n v="41507542452"/>
    <s v="C6 "/>
    <x v="16"/>
    <n v="41507542452"/>
    <d v="2026-08-06T17:22:33"/>
    <n v="115"/>
    <n v="3"/>
    <s v="           "/>
    <s v="GB"/>
    <s v="   "/>
    <n v="83770192"/>
    <n v="203964"/>
    <n v="99000"/>
    <s v="GBP"/>
    <n v="1285499.1399999999"/>
    <s v="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1831293"/>
    <n v="111831293"/>
    <n v="111831293"/>
    <s v="GB67HAND40516254747962            "/>
    <s v="CURRENT ACCOUNT                                   "/>
  </r>
  <r>
    <n v="41508714421"/>
    <s v="C7 "/>
    <x v="16"/>
    <n v="41508714421"/>
    <d v="2026-08-07T13:40:30"/>
    <n v="115"/>
    <n v="3"/>
    <s v="           "/>
    <s v="GB"/>
    <s v="   "/>
    <n v="83770192"/>
    <n v="203964"/>
    <n v="99000"/>
    <s v="GBP"/>
    <n v="1285499.1399999999"/>
    <s v="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1831293"/>
    <n v="111831293"/>
    <n v="111831293"/>
    <s v="GB67HAND40516254747962            "/>
    <s v="CURRENT ACCOUNT                                   "/>
  </r>
  <r>
    <n v="41508569084"/>
    <s v="C7 "/>
    <x v="16"/>
    <n v="41508569084"/>
    <d v="2026-08-07T12:36:17"/>
    <n v="115"/>
    <n v="3"/>
    <s v="           "/>
    <s v="GB"/>
    <s v="   "/>
    <n v="90673684"/>
    <n v="204451"/>
    <n v="49999"/>
    <s v="GBP"/>
    <n v="649229.06000000006"/>
    <s v="LF 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5002978"/>
    <n v="145002978"/>
    <n v="145002978"/>
    <s v="GB26HAND40516228562774            "/>
    <s v="CURRENT ACCOUNT                                   "/>
  </r>
  <r>
    <n v="41512058559"/>
    <s v="C7 "/>
    <x v="16"/>
    <n v="41512058559"/>
    <d v="2026-08-09T20:01:52"/>
    <n v="115"/>
    <n v="3"/>
    <s v="           "/>
    <s v="GB"/>
    <s v="   "/>
    <n v="48042380"/>
    <n v="70116"/>
    <n v="53295"/>
    <s v="GBP"/>
    <n v="692027.05"/>
    <s v="Lucy Nationwi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207073"/>
    <n v="128207073"/>
    <n v="128207073"/>
    <s v="GB95HAND40516238565627            "/>
    <s v="JOINT DEPOSIT ACCOUNT                             "/>
  </r>
  <r>
    <n v="41447045903"/>
    <s v="C7 "/>
    <x v="17"/>
    <n v="41447045903"/>
    <d v="2026-07-01T11:29:41"/>
    <n v="86"/>
    <n v="3"/>
    <s v="HSBCSGSGPBD"/>
    <s v="SG"/>
    <s v="   "/>
    <n v="82132121340001"/>
    <s v="                              "/>
    <n v="1200000"/>
    <s v="GBP"/>
    <n v="15437647.35"/>
    <s v="ROBERT AND HANNA NUG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5262164"/>
    <n v="115262164"/>
    <n v="115262164"/>
    <s v="GB24HAND40516218776965            "/>
    <s v="CURRENT ACCOUNT                                   "/>
  </r>
  <r>
    <n v="41458876248"/>
    <s v="C7 "/>
    <x v="17"/>
    <n v="41458876248"/>
    <d v="2026-07-08T13:54:06"/>
    <n v="98"/>
    <n v="3"/>
    <s v="BOFIIE2D   "/>
    <s v="IE"/>
    <s v="   "/>
    <s v="IE73BOFI90535286857629            "/>
    <s v="                              "/>
    <n v="45000"/>
    <s v="EUR"/>
    <n v="498940.53"/>
    <s v="house depo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34675180"/>
    <n v="134675180"/>
    <n v="134675180"/>
    <s v="GB47HAND40516248304321            "/>
    <s v="CURRENT ACCOUNT                                   "/>
  </r>
  <r>
    <n v="41466483811"/>
    <s v="C7 "/>
    <x v="17"/>
    <n v="41466483811"/>
    <d v="2026-07-13T13:36:45"/>
    <n v="98"/>
    <n v="3"/>
    <s v="CAIXESBB   "/>
    <s v="ES"/>
    <s v="   "/>
    <s v="ES1321000780131300547958          "/>
    <s v="                              "/>
    <n v="116900"/>
    <s v="EUR"/>
    <n v="1296136.6100000001"/>
    <s v="CLASE G 8340MG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9278002"/>
    <n v="109278002"/>
    <n v="109278002"/>
    <s v="GB80HAND40516264932825            "/>
    <s v="EURO CURRENT ACCOUNT                              "/>
  </r>
  <r>
    <n v="41447499790"/>
    <s v="C6 "/>
    <x v="18"/>
    <n v="41447499790"/>
    <d v="2026-07-01T14:51:00"/>
    <n v="115"/>
    <n v="3"/>
    <s v="BCYPGB2LXXX"/>
    <s v="GB"/>
    <s v="   "/>
    <n v="23901216"/>
    <n v="406377"/>
    <n v="61286.07"/>
    <s v="GBP"/>
    <n v="788427.31"/>
    <s v="Cyn2Y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9309359"/>
    <n v="119309359"/>
    <n v="119309359"/>
    <s v="GB74HAND40516260527581            "/>
    <s v="CURRENT ACCOUNT                                   "/>
  </r>
  <r>
    <n v="41447336274"/>
    <s v="C6 "/>
    <x v="18"/>
    <n v="41447336274"/>
    <d v="2026-07-01T13:35:58"/>
    <n v="115"/>
    <n v="3"/>
    <s v="           "/>
    <s v="GB"/>
    <s v="   "/>
    <n v="81595468"/>
    <n v="406437"/>
    <n v="30143.01"/>
    <s v="GBP"/>
    <n v="387781.01"/>
    <s v="MarcusCJ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9309359"/>
    <n v="119309359"/>
    <n v="119309359"/>
    <s v="GB74HAND40516260527581            "/>
    <s v="CURRENT ACCOUNT                                   "/>
  </r>
  <r>
    <n v="41447338345"/>
    <s v="C6 "/>
    <x v="18"/>
    <n v="41447338345"/>
    <d v="2026-07-01T13:37:00"/>
    <n v="115"/>
    <n v="3"/>
    <s v="           "/>
    <s v="GB"/>
    <s v="   "/>
    <n v="42272574"/>
    <n v="406437"/>
    <n v="30143.03"/>
    <s v="GBP"/>
    <n v="387781.2"/>
    <s v="MarcusJJ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9309359"/>
    <n v="119309359"/>
    <n v="119309359"/>
    <s v="GB74HAND40516260527581            "/>
    <s v="CURRENT ACCOUNT                                   "/>
  </r>
  <r>
    <n v="41473429686"/>
    <s v="C6 "/>
    <x v="18"/>
    <n v="41473429686"/>
    <d v="2026-07-17T13:40:45"/>
    <n v="115"/>
    <n v="3"/>
    <s v="           "/>
    <s v="GB"/>
    <s v="   "/>
    <n v="45103897"/>
    <n v="609204"/>
    <n v="25000"/>
    <s v="GBP"/>
    <n v="322637.40999999997"/>
    <s v="45103897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3366470"/>
    <n v="113366470"/>
    <n v="113366470"/>
    <s v="GB33HAND40516220222976            "/>
    <s v="DEPOSIT ACCOUNT NO.2                              "/>
  </r>
  <r>
    <n v="41473431379"/>
    <s v="C6 "/>
    <x v="18"/>
    <n v="41473431379"/>
    <d v="2026-07-17T13:41:27"/>
    <n v="115"/>
    <n v="3"/>
    <s v="           "/>
    <s v="GB"/>
    <s v="   "/>
    <n v="45057828"/>
    <n v="609204"/>
    <n v="25000"/>
    <s v="GBP"/>
    <n v="322637.40999999997"/>
    <s v="45057828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3366470"/>
    <n v="113366470"/>
    <n v="113366470"/>
    <s v="GB33HAND40516220222976            "/>
    <s v="DEPOSIT ACCOUNT NO.2                              "/>
  </r>
  <r>
    <n v="41506612587"/>
    <s v="C6 "/>
    <x v="18"/>
    <n v="41506612587"/>
    <d v="2026-08-06T08:50:04"/>
    <n v="115"/>
    <n v="3"/>
    <s v="           "/>
    <s v="GB"/>
    <s v="   "/>
    <n v="83280502"/>
    <n v="230120"/>
    <n v="10000"/>
    <s v="GBP"/>
    <n v="129848.44"/>
    <s v="Saving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41378075"/>
    <n v="141378075"/>
    <n v="141378075"/>
    <s v="GB62HAND40516249733637            "/>
    <s v="CURRENT ACCOUNT                                   "/>
  </r>
  <r>
    <n v="41447679199"/>
    <s v="C7 "/>
    <x v="19"/>
    <n v="41447679199"/>
    <d v="2026-07-01T16:13:02"/>
    <n v="115"/>
    <n v="3"/>
    <s v="           "/>
    <s v="GB"/>
    <s v="   "/>
    <n v="9204083"/>
    <n v="40075"/>
    <n v="50000"/>
    <s v="GBP"/>
    <n v="643235.32999999996"/>
    <s v="Tfr Hdlsb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2592674"/>
    <n v="142592674"/>
    <n v="142592674"/>
    <s v="GB31HAND40516237199079            "/>
    <s v="DEPOSIT ACCOUNT                                   "/>
  </r>
  <r>
    <n v="41447499790"/>
    <s v="C6 "/>
    <x v="19"/>
    <n v="41447499790"/>
    <d v="2026-07-01T14:51:00"/>
    <n v="115"/>
    <n v="3"/>
    <s v="BCYPGB2LXXX"/>
    <s v="GB"/>
    <s v="   "/>
    <n v="23901216"/>
    <n v="406377"/>
    <n v="61286.07"/>
    <s v="GBP"/>
    <n v="788427.31"/>
    <s v="Cyn2Y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9309359"/>
    <n v="119309359"/>
    <n v="119309359"/>
    <s v="GB74HAND40516260527581            "/>
    <s v="CURRENT ACCOUNT                                   "/>
  </r>
  <r>
    <n v="41447338345"/>
    <s v="C6 "/>
    <x v="19"/>
    <n v="41447338345"/>
    <d v="2026-07-01T13:37:00"/>
    <n v="115"/>
    <n v="3"/>
    <s v="           "/>
    <s v="GB"/>
    <s v="   "/>
    <n v="42272574"/>
    <n v="406437"/>
    <n v="30143.03"/>
    <s v="GBP"/>
    <n v="387781.2"/>
    <s v="MarcusJJ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9309359"/>
    <n v="119309359"/>
    <n v="119309359"/>
    <s v="GB74HAND40516260527581            "/>
    <s v="CURRENT ACCOUNT                                   "/>
  </r>
  <r>
    <n v="41446946687"/>
    <s v="C7 "/>
    <x v="19"/>
    <n v="41446946687"/>
    <d v="2026-07-01T10:43:15"/>
    <n v="69"/>
    <n v="3"/>
    <s v="           "/>
    <s v="GB"/>
    <s v="   "/>
    <n v="80432571"/>
    <n v="200771"/>
    <n v="320000"/>
    <s v="GBP"/>
    <n v="4116705.96"/>
    <s v="pay back of 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88738513"/>
    <n v="88738513"/>
    <n v="88738513"/>
    <s v="GB12HAND40516238616979            "/>
    <s v="DEPOSIT ACCOUNT                                   "/>
  </r>
  <r>
    <n v="41446939640"/>
    <s v="C7 "/>
    <x v="19"/>
    <n v="41446939640"/>
    <d v="2026-07-01T10:39:16"/>
    <n v="69"/>
    <n v="3"/>
    <s v="           "/>
    <s v="GB"/>
    <s v="   "/>
    <n v="80432571"/>
    <n v="200771"/>
    <n v="1500000"/>
    <s v="GBP"/>
    <n v="19297059.140000001"/>
    <s v="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88738513"/>
    <n v="88738513"/>
    <n v="88738513"/>
    <s v="GB12HAND40516238616979            "/>
    <s v="DEPOSIT ACCOUNT                                   "/>
  </r>
  <r>
    <n v="41449900442"/>
    <s v="C7 "/>
    <x v="19"/>
    <n v="41449900442"/>
    <d v="2026-07-02T19:46:20"/>
    <n v="115"/>
    <n v="3"/>
    <s v="           "/>
    <s v="GB"/>
    <s v="   "/>
    <n v="50604895"/>
    <n v="204673"/>
    <n v="25000"/>
    <s v="GBP"/>
    <n v="322637.40999999997"/>
    <s v="klander hande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8159213"/>
    <n v="148159213"/>
    <n v="148159213"/>
    <s v="GB28HAND40516224592140            "/>
    <s v="CURRENT ACCOUNT                                   "/>
  </r>
  <r>
    <n v="41449578507"/>
    <s v="C7 "/>
    <x v="19"/>
    <n v="41449578507"/>
    <d v="2026-07-02T16:50:44"/>
    <n v="115"/>
    <n v="3"/>
    <s v="           "/>
    <s v="GB"/>
    <s v="   "/>
    <n v="61658919"/>
    <n v="406437"/>
    <n v="90000"/>
    <s v="GBP"/>
    <n v="1161494.57"/>
    <s v="Vi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86816444"/>
    <n v="86816444"/>
    <n v="86816444"/>
    <s v="GB35HAND40516249169001            "/>
    <s v="CURRENT ACCOUNT                                   "/>
  </r>
  <r>
    <n v="41451349515"/>
    <s v="C6 "/>
    <x v="19"/>
    <n v="41451349515"/>
    <d v="2026-07-03T16:20:59"/>
    <n v="115"/>
    <n v="3"/>
    <s v="           "/>
    <s v="GB"/>
    <s v="   "/>
    <n v="16281625"/>
    <n v="608407"/>
    <n v="50000"/>
    <s v="GBP"/>
    <n v="645274.81999999995"/>
    <s v="depo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533080"/>
    <n v="128533080"/>
    <n v="128533080"/>
    <s v="GB42HAND40516287347008            "/>
    <s v="CURRENT ACCOUNT MORTGAGE                          "/>
  </r>
  <r>
    <n v="41451347753"/>
    <s v="C6 "/>
    <x v="19"/>
    <n v="41451347753"/>
    <d v="2026-07-03T16:20:08"/>
    <n v="115"/>
    <n v="3"/>
    <s v="           "/>
    <s v="GB"/>
    <s v="   "/>
    <n v="16281625"/>
    <n v="608407"/>
    <n v="100000"/>
    <s v="GBP"/>
    <n v="1290549.53"/>
    <s v="depo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533080"/>
    <n v="128533080"/>
    <n v="128533080"/>
    <s v="GB42HAND40516287347008            "/>
    <s v="CURRENT ACCOUNT MORTGAGE                          "/>
  </r>
  <r>
    <n v="41451344908"/>
    <s v="C7 "/>
    <x v="19"/>
    <n v="41451344908"/>
    <d v="2026-07-03T16:18:56"/>
    <n v="115"/>
    <n v="3"/>
    <s v="           "/>
    <s v="GB"/>
    <s v="   "/>
    <n v="16281625"/>
    <n v="608407"/>
    <n v="100000"/>
    <s v="GBP"/>
    <n v="1290549.53"/>
    <s v="depo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533080"/>
    <n v="128533080"/>
    <n v="128533080"/>
    <s v="GB42HAND40516287347008            "/>
    <s v="CURRENT ACCOUNT MORTGAGE                          "/>
  </r>
  <r>
    <n v="41450795129"/>
    <s v="C6 "/>
    <x v="19"/>
    <n v="41450795129"/>
    <d v="2026-07-03T12:23:56"/>
    <n v="115"/>
    <n v="3"/>
    <s v="SMIWGB2LXXX"/>
    <s v="GB"/>
    <s v="   "/>
    <n v="54606"/>
    <n v="165760"/>
    <n v="25000"/>
    <s v="GBP"/>
    <n v="322637.40999999997"/>
    <s v="Polly Evelyn Gif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2909595"/>
    <n v="102909595"/>
    <n v="102909595"/>
    <s v="GB59HAND40516222636256            "/>
    <s v="CURRENT ACCOUNT                                   "/>
  </r>
  <r>
    <n v="41450496287"/>
    <s v="C6 "/>
    <x v="19"/>
    <n v="41450496287"/>
    <d v="2026-07-03T09:58:23"/>
    <n v="115"/>
    <n v="3"/>
    <s v="SMIWGB2LXXX"/>
    <s v="GB"/>
    <s v="   "/>
    <n v="54606"/>
    <n v="165760"/>
    <n v="25000"/>
    <s v="GBP"/>
    <n v="322637.40999999997"/>
    <s v="Polly Evelyn Gif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2909595"/>
    <n v="102909595"/>
    <n v="102909595"/>
    <s v="GB59HAND40516222636256            "/>
    <s v="CURRENT ACCOUNT                                   "/>
  </r>
  <r>
    <n v="41450493081"/>
    <s v="C7 "/>
    <x v="19"/>
    <n v="41450493081"/>
    <d v="2026-07-03T09:56:46"/>
    <n v="115"/>
    <n v="3"/>
    <s v="SMIWGB2LXXX"/>
    <s v="GB"/>
    <s v="   "/>
    <n v="54606"/>
    <n v="165760"/>
    <n v="100000"/>
    <s v="GBP"/>
    <n v="1290549.53"/>
    <s v="Polly Evelyn Gif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2909595"/>
    <n v="102909595"/>
    <n v="102909595"/>
    <s v="GB59HAND40516222636256            "/>
    <s v="CURRENT ACCOUNT                                   "/>
  </r>
  <r>
    <n v="41455493035"/>
    <s v="C7 "/>
    <x v="19"/>
    <n v="41455493035"/>
    <d v="2026-07-06T13:38:08"/>
    <n v="115"/>
    <n v="3"/>
    <s v="           "/>
    <s v="GB"/>
    <s v="   "/>
    <n v="54008774"/>
    <n v="90643"/>
    <n v="50000"/>
    <s v="GBP"/>
    <n v="645274.81999999995"/>
    <s v="Savings (Cahoot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0919394"/>
    <n v="120919394"/>
    <n v="120919394"/>
    <s v="GB42HAND40516212423723            "/>
    <s v="CURRENT ACCOUNT                                   "/>
  </r>
  <r>
    <n v="41456899665"/>
    <s v="C7 "/>
    <x v="19"/>
    <n v="41456899665"/>
    <d v="2026-07-07T11:27:28"/>
    <n v="115"/>
    <n v="3"/>
    <s v="           "/>
    <s v="GB"/>
    <s v="   "/>
    <n v="85532110"/>
    <n v="608407"/>
    <n v="55000"/>
    <s v="GBP"/>
    <n v="709802.3"/>
    <s v="Patek Singap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3478273"/>
    <n v="123478273"/>
    <n v="123478273"/>
    <s v="GB86HAND40516229778656            "/>
    <s v="CURRENT ACCOUNT                                   "/>
  </r>
  <r>
    <n v="41459665892"/>
    <s v="C7 "/>
    <x v="19"/>
    <n v="41459665892"/>
    <d v="2026-07-08T21:36:52"/>
    <n v="115"/>
    <n v="3"/>
    <s v="LOYDGB21F45"/>
    <s v="GB"/>
    <s v="   "/>
    <n v="1362320"/>
    <n v="304067"/>
    <n v="20000"/>
    <s v="GBP"/>
    <n v="258109.93"/>
    <s v="EM1579949-0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5716052"/>
    <n v="115716052"/>
    <n v="115716052"/>
    <s v="GB39HAND40516275776999            "/>
    <s v="MR &amp; MRS A R WOOD HOUSE ACCOUNT                   "/>
  </r>
  <r>
    <n v="41459674249"/>
    <s v="C7 "/>
    <x v="19"/>
    <n v="41459674249"/>
    <d v="2026-07-08T21:44:36"/>
    <n v="115"/>
    <n v="3"/>
    <s v="LOYDGB21F45"/>
    <s v="GB"/>
    <s v="   "/>
    <n v="1362320"/>
    <n v="304067"/>
    <n v="20000"/>
    <s v="GBP"/>
    <n v="258109.93"/>
    <s v="EM1584363-0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5716052"/>
    <n v="115716052"/>
    <n v="115716052"/>
    <s v="GB39HAND40516275776999            "/>
    <s v="MR &amp; MRS A R WOOD HOUSE ACCOUNT                   "/>
  </r>
  <r>
    <n v="41458876248"/>
    <s v="C7 "/>
    <x v="19"/>
    <n v="41458876248"/>
    <d v="2026-07-08T13:54:06"/>
    <n v="98"/>
    <n v="3"/>
    <s v="BOFIIE2D   "/>
    <s v="IE"/>
    <s v="   "/>
    <s v="IE73BOFI90535286857629            "/>
    <s v="                              "/>
    <n v="45000"/>
    <s v="EUR"/>
    <n v="498940.53"/>
    <s v="house depo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34675180"/>
    <n v="134675180"/>
    <n v="134675180"/>
    <s v="GB47HAND40516248304321            "/>
    <s v="CURRENT ACCOUNT                                   "/>
  </r>
  <r>
    <n v="41458164138"/>
    <s v="C7 "/>
    <x v="19"/>
    <n v="41458164138"/>
    <d v="2026-07-08T01:16:07"/>
    <n v="115"/>
    <n v="3"/>
    <s v="YORKGB21200"/>
    <s v="GB"/>
    <s v="   "/>
    <n v="13389011"/>
    <n v="50200"/>
    <n v="35000"/>
    <s v="GBP"/>
    <n v="451692.37"/>
    <s v="Directors 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5587352"/>
    <n v="125587352"/>
    <n v="125587352"/>
    <s v="GB98HAND40516267160882            "/>
    <s v="CURRENT ACCOUNT                                   "/>
  </r>
  <r>
    <n v="41458164248"/>
    <s v="C7 "/>
    <x v="19"/>
    <n v="41458164248"/>
    <d v="2026-07-08T01:16:08"/>
    <n v="115"/>
    <n v="3"/>
    <s v="YORKGB21200"/>
    <s v="GB"/>
    <s v="   "/>
    <n v="13389011"/>
    <n v="50200"/>
    <n v="50000"/>
    <s v="GBP"/>
    <n v="645274.81999999995"/>
    <s v="Directors 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5587352"/>
    <n v="125587352"/>
    <n v="125587352"/>
    <s v="GB98HAND40516267160882            "/>
    <s v="CURRENT ACCOUNT                                   "/>
  </r>
  <r>
    <n v="41462835117"/>
    <s v="C7 "/>
    <x v="19"/>
    <n v="41462835117"/>
    <d v="2026-07-10T18:46:35"/>
    <n v="115"/>
    <n v="3"/>
    <s v="MIDLGB2196K"/>
    <s v="GB"/>
    <s v="   "/>
    <n v="10235121"/>
    <n v="403232"/>
    <n v="100000"/>
    <s v="GBP"/>
    <n v="1290549.53"/>
    <s v="PA273125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8525652"/>
    <n v="148525652"/>
    <n v="148525652"/>
    <s v="GB31HAND40516213470842            "/>
    <s v="CURRENT ACCOUNT                                   "/>
  </r>
  <r>
    <n v="41462850655"/>
    <s v="C6 "/>
    <x v="19"/>
    <n v="41462850655"/>
    <d v="2026-07-10T18:56:19"/>
    <n v="115"/>
    <n v="3"/>
    <s v="MIDLGB2196K"/>
    <s v="GB"/>
    <s v="   "/>
    <n v="10235121"/>
    <n v="403232"/>
    <n v="80000"/>
    <s v="GBP"/>
    <n v="1032439.7"/>
    <s v="PA273125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8525652"/>
    <n v="148525652"/>
    <n v="148525652"/>
    <s v="GB31HAND40516213470842            "/>
    <s v="CURRENT ACCOUNT                                   "/>
  </r>
  <r>
    <n v="41462839274"/>
    <s v="C7 "/>
    <x v="19"/>
    <n v="41462839274"/>
    <d v="2026-07-10T18:49:28"/>
    <n v="115"/>
    <n v="3"/>
    <s v="MIDLGB2196K"/>
    <s v="GB"/>
    <s v="   "/>
    <n v="10235121"/>
    <n v="403232"/>
    <n v="100000"/>
    <s v="GBP"/>
    <n v="1290549.53"/>
    <s v="PA273125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8525652"/>
    <n v="148525652"/>
    <n v="148525652"/>
    <s v="GB31HAND40516213470842            "/>
    <s v="CURRENT ACCOUNT                                   "/>
  </r>
  <r>
    <n v="41462512107"/>
    <s v="C7 "/>
    <x v="19"/>
    <n v="41462512107"/>
    <d v="2026-07-10T15:49:42"/>
    <n v="115"/>
    <n v="3"/>
    <s v="           "/>
    <s v="GB"/>
    <s v="   "/>
    <n v="8545946"/>
    <n v="40005"/>
    <n v="10000"/>
    <s v="GBP"/>
    <n v="129054.96"/>
    <s v="Dad 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89938773"/>
    <n v="89938773"/>
    <n v="89938773"/>
    <s v="GB26HAND40516252550001            "/>
    <s v="CURRENT ACCOUNT                                   "/>
  </r>
  <r>
    <n v="41462004245"/>
    <s v="C7 "/>
    <x v="19"/>
    <n v="41462004245"/>
    <d v="2026-07-10T12:05:52"/>
    <n v="115"/>
    <n v="3"/>
    <s v="           "/>
    <s v="GB"/>
    <s v="   "/>
    <n v="6666272"/>
    <n v="180002"/>
    <n v="80000"/>
    <s v="GBP"/>
    <n v="1032439.7"/>
    <s v="GMC/49SYDNE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0380607"/>
    <n v="110380607"/>
    <n v="110380607"/>
    <s v="GB67HAND40516274059886            "/>
    <s v="DEPOSIT ACCOUNT                                   "/>
  </r>
  <r>
    <n v="41463601364"/>
    <s v="C6 "/>
    <x v="19"/>
    <n v="41463601364"/>
    <d v="2026-07-11T12:06:15"/>
    <n v="115"/>
    <n v="3"/>
    <s v="HBUKGB4153L"/>
    <s v="GB"/>
    <s v="   "/>
    <n v="51396080"/>
    <n v="404031"/>
    <n v="100000"/>
    <s v="GBP"/>
    <n v="1290549.53"/>
    <s v="GIFT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6573514"/>
    <n v="146573514"/>
    <n v="146573514"/>
    <s v="GB84HAND40516234456032            "/>
    <s v="DEPOSIT ACCOUNT                                   "/>
  </r>
  <r>
    <n v="41463610727"/>
    <s v="C6 "/>
    <x v="19"/>
    <n v="41463610727"/>
    <d v="2026-07-11T12:10:37"/>
    <n v="115"/>
    <n v="3"/>
    <s v="HBUKGB4153L"/>
    <s v="GB"/>
    <s v="   "/>
    <n v="51396080"/>
    <n v="404031"/>
    <n v="95000"/>
    <s v="GBP"/>
    <n v="1226022.05"/>
    <s v="GIFT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6573514"/>
    <n v="146573514"/>
    <n v="146573514"/>
    <s v="GB84HAND40516234456032            "/>
    <s v="DEPOSIT ACCOUNT                                   "/>
  </r>
  <r>
    <n v="41463606609"/>
    <s v="C6 "/>
    <x v="19"/>
    <n v="41463606609"/>
    <d v="2026-07-11T12:08:46"/>
    <n v="115"/>
    <n v="3"/>
    <s v="NWBKGB2118W"/>
    <s v="GB"/>
    <s v="   "/>
    <n v="57317232"/>
    <n v="555010"/>
    <n v="100000"/>
    <s v="GBP"/>
    <n v="1290549.53"/>
    <s v="GIFT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6573514"/>
    <n v="146573514"/>
    <n v="146573514"/>
    <s v="GB84HAND40516234456032            "/>
    <s v="DEPOSIT ACCOUNT                                   "/>
  </r>
  <r>
    <n v="41466468310"/>
    <s v="C7 "/>
    <x v="19"/>
    <n v="41466468310"/>
    <d v="2026-07-13T13:28:22"/>
    <n v="115"/>
    <n v="3"/>
    <s v="MYMBGB2LXXX"/>
    <s v="GB"/>
    <s v="   "/>
    <n v="58219401"/>
    <n v="230580"/>
    <n v="41000"/>
    <s v="GBP"/>
    <n v="529125.35"/>
    <s v="Funds Transfer 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35057461"/>
    <n v="135057461"/>
    <n v="135057461"/>
    <s v="GB87HAND40516238666845            "/>
    <s v="DEPOSIT ACCOUNT                                   "/>
  </r>
  <r>
    <n v="41472246859"/>
    <s v="C6 "/>
    <x v="19"/>
    <n v="41472246859"/>
    <d v="2026-07-16T17:50:56"/>
    <n v="69"/>
    <n v="3"/>
    <s v="RBOSGB21528"/>
    <s v="GB"/>
    <s v="   "/>
    <n v="10030747"/>
    <n v="161923"/>
    <n v="250000"/>
    <s v="GBP"/>
    <n v="3226373.98"/>
    <s v="DH to DDJ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7560732"/>
    <n v="107560732"/>
    <n v="107560732"/>
    <s v="GB94HAND40516269781991            "/>
    <s v="CURRENT ACCOUNT                                   "/>
  </r>
  <r>
    <n v="41473841513"/>
    <s v="C7 "/>
    <x v="19"/>
    <n v="41473841513"/>
    <d v="2026-07-17T17:12:18"/>
    <n v="115"/>
    <n v="3"/>
    <s v="           "/>
    <s v="GB"/>
    <s v="   "/>
    <n v="24040801"/>
    <n v="40605"/>
    <n v="13329.74"/>
    <s v="GBP"/>
    <n v="172026.88"/>
    <s v="HBOT Sau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132131"/>
    <n v="128132131"/>
    <n v="128132131"/>
    <s v="GB39HAND40516258923540            "/>
    <s v="CURRENT ACCOUNT                                   "/>
  </r>
  <r>
    <n v="41473431379"/>
    <s v="C6 "/>
    <x v="19"/>
    <n v="41473431379"/>
    <d v="2026-07-17T13:41:27"/>
    <n v="115"/>
    <n v="3"/>
    <s v="           "/>
    <s v="GB"/>
    <s v="   "/>
    <n v="45057828"/>
    <n v="609204"/>
    <n v="25000"/>
    <s v="GBP"/>
    <n v="322637.40999999997"/>
    <s v="45057828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3366470"/>
    <n v="113366470"/>
    <n v="113366470"/>
    <s v="GB33HAND40516220222976            "/>
    <s v="DEPOSIT ACCOUNT NO.2                              "/>
  </r>
  <r>
    <n v="41475226924"/>
    <s v="C7 "/>
    <x v="19"/>
    <n v="41475226924"/>
    <d v="2026-07-18T16:28:07"/>
    <n v="115"/>
    <n v="3"/>
    <s v="           "/>
    <s v="GB"/>
    <s v="   "/>
    <n v="24510889"/>
    <n v="230163"/>
    <n v="10000"/>
    <s v="GBP"/>
    <n v="129054.96"/>
    <s v="Trish Revolu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5686289"/>
    <n v="115686289"/>
    <n v="115686289"/>
    <s v="GB57HAND40516236962610            "/>
    <s v="DEPOSIT ACCOUNT                                   "/>
  </r>
  <r>
    <n v="41480028554"/>
    <s v="C7 "/>
    <x v="19"/>
    <n v="41480028554"/>
    <d v="2026-07-21T18:00:52"/>
    <n v="115"/>
    <n v="3"/>
    <s v="           "/>
    <s v="GB"/>
    <s v="   "/>
    <n v="58200138"/>
    <n v="608407"/>
    <n v="50000"/>
    <s v="GBP"/>
    <n v="649241.99"/>
    <s v="House gift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5353056"/>
    <n v="105353056"/>
    <n v="105353056"/>
    <s v="GB17HAND40516217711061            "/>
    <s v="CURRENT ACCOUNT                                   "/>
  </r>
  <r>
    <n v="41483437207"/>
    <s v="C7 "/>
    <x v="19"/>
    <n v="41483437207"/>
    <d v="2026-07-23T18:46:06"/>
    <n v="115"/>
    <n v="3"/>
    <s v="           "/>
    <s v="GB"/>
    <s v="   "/>
    <n v="54088624"/>
    <n v="90643"/>
    <n v="75000"/>
    <s v="GBP"/>
    <n v="973862.99"/>
    <s v="Transfer HB to 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8965344"/>
    <n v="108965344"/>
    <n v="108965344"/>
    <s v="GB15HAND40516215695922            "/>
    <s v="CURRENT ACCOUNT                                   "/>
  </r>
  <r>
    <n v="41483254891"/>
    <s v="C7 "/>
    <x v="19"/>
    <n v="41483254891"/>
    <d v="2026-07-23T17:32:42"/>
    <n v="115"/>
    <n v="3"/>
    <s v="           "/>
    <s v="GB"/>
    <s v="   "/>
    <n v="73114139"/>
    <n v="406437"/>
    <n v="100000"/>
    <s v="GBP"/>
    <n v="1298483.98"/>
    <s v="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9228773"/>
    <n v="119228773"/>
    <n v="119228773"/>
    <s v="GB89HAND40516214461623            "/>
    <s v="DEPOSIT ACCOUNT                                   "/>
  </r>
  <r>
    <n v="41483063386"/>
    <s v="C6 "/>
    <x v="19"/>
    <n v="41483063386"/>
    <d v="2026-07-23T15:53:26"/>
    <n v="115"/>
    <n v="3"/>
    <s v="           "/>
    <s v="GB"/>
    <s v="   "/>
    <n v="83372888"/>
    <n v="608407"/>
    <n v="80000"/>
    <s v="GBP"/>
    <n v="1038787.21"/>
    <s v="TVR payment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2720485"/>
    <n v="122720485"/>
    <n v="122720485"/>
    <s v="GB47HAND40516224759996            "/>
    <s v="CURRENT ACCOUNT                                   "/>
  </r>
  <r>
    <n v="41482548652"/>
    <s v="C7 "/>
    <x v="19"/>
    <n v="41482548652"/>
    <d v="2026-07-23T11:49:38"/>
    <n v="115"/>
    <n v="3"/>
    <s v="BOFSGBS1CTL"/>
    <s v="GB"/>
    <s v="   "/>
    <n v="13139066"/>
    <n v="804887"/>
    <n v="90000"/>
    <s v="GBP"/>
    <n v="1168635.6399999999"/>
    <s v="HB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35198109"/>
    <n v="135198109"/>
    <n v="135198109"/>
    <s v="GB84HAND40516224516248            "/>
    <s v="DEPOSIT ACCOUNT                                   "/>
  </r>
  <r>
    <n v="41486213067"/>
    <s v="C6 "/>
    <x v="19"/>
    <n v="41486213067"/>
    <d v="2026-07-24T20:28:04"/>
    <n v="115"/>
    <n v="3"/>
    <s v="           "/>
    <s v="GB"/>
    <s v="   "/>
    <n v="26180505"/>
    <n v="608407"/>
    <n v="100000"/>
    <s v="GBP"/>
    <n v="1298483.98"/>
    <s v="CHA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86216916"/>
    <s v="C6 "/>
    <x v="19"/>
    <n v="41486216916"/>
    <d v="2026-07-24T20:30:36"/>
    <n v="115"/>
    <n v="3"/>
    <s v="           "/>
    <s v="GB"/>
    <s v="   "/>
    <n v="26180505"/>
    <n v="608407"/>
    <n v="100000"/>
    <s v="GBP"/>
    <n v="1298483.98"/>
    <s v="CHA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86224304"/>
    <s v="C6 "/>
    <x v="19"/>
    <n v="41486224304"/>
    <d v="2026-07-24T20:35:21"/>
    <n v="115"/>
    <n v="3"/>
    <s v="           "/>
    <s v="GB"/>
    <s v="   "/>
    <n v="26180505"/>
    <n v="608407"/>
    <n v="100000"/>
    <s v="GBP"/>
    <n v="1298483.98"/>
    <s v="Chase AC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86220957"/>
    <s v="C6 "/>
    <x v="19"/>
    <n v="41486220957"/>
    <d v="2026-07-24T20:33:07"/>
    <n v="115"/>
    <n v="3"/>
    <s v="           "/>
    <s v="GB"/>
    <s v="   "/>
    <n v="26180505"/>
    <n v="608407"/>
    <n v="100000"/>
    <s v="GBP"/>
    <n v="1298483.98"/>
    <s v="Chase AC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85691443"/>
    <s v="C7 "/>
    <x v="19"/>
    <n v="41485691443"/>
    <d v="2026-07-24T16:09:37"/>
    <n v="115"/>
    <n v="3"/>
    <s v="           "/>
    <s v="GB"/>
    <s v="   "/>
    <n v="81635056"/>
    <n v="406437"/>
    <n v="50000"/>
    <s v="GBP"/>
    <n v="649241.99"/>
    <s v="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1862155"/>
    <n v="121862155"/>
    <n v="121862155"/>
    <s v="GB90HAND40516238708986            "/>
    <s v="CURRENT ACCOUNT                                   "/>
  </r>
  <r>
    <n v="41492391683"/>
    <s v="C7 "/>
    <x v="19"/>
    <n v="41492391683"/>
    <d v="2026-07-28T10:56:27"/>
    <n v="115"/>
    <n v="3"/>
    <s v="           "/>
    <s v="GB"/>
    <s v="   "/>
    <n v="43255473"/>
    <n v="608407"/>
    <n v="25000"/>
    <s v="GBP"/>
    <n v="324621"/>
    <s v="Trf to saving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5377780"/>
    <n v="115377780"/>
    <n v="115377780"/>
    <s v="GB49HAND40516276240479            "/>
    <s v="DEPOSIT ACCOUNT                                   "/>
  </r>
  <r>
    <n v="41497065241"/>
    <s v="C7 "/>
    <x v="19"/>
    <n v="41497065241"/>
    <d v="2026-07-30T20:25:30"/>
    <n v="115"/>
    <n v="3"/>
    <s v="           "/>
    <s v="GB"/>
    <s v="   "/>
    <n v="73002616"/>
    <n v="206155"/>
    <n v="14644.06"/>
    <s v="GBP"/>
    <n v="190150.8"/>
    <s v="AWI trust tax 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7888564"/>
    <n v="125780189"/>
    <n v="147888564"/>
    <s v="GB40HAND40516225024544            "/>
    <s v="DEPOSIT ACCOUNT                                   "/>
  </r>
  <r>
    <n v="41499878714"/>
    <s v="C7 "/>
    <x v="19"/>
    <n v="41499878714"/>
    <d v="2026-08-01T16:21:09"/>
    <n v="115"/>
    <n v="3"/>
    <s v="           "/>
    <s v="GB"/>
    <s v="   "/>
    <n v="10475655"/>
    <n v="40831"/>
    <n v="50000"/>
    <s v="GBP"/>
    <n v="649241.99"/>
    <s v="Camilla Bourqu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5779995"/>
    <n v="105779995"/>
    <n v="105779995"/>
    <s v="GB17HAND40516212615263            "/>
    <s v="CURRENT ACCOUNT                                   "/>
  </r>
  <r>
    <n v="41499919515"/>
    <s v="C6 "/>
    <x v="19"/>
    <n v="41499919515"/>
    <d v="2026-08-01T16:48:29"/>
    <n v="115"/>
    <n v="3"/>
    <s v="           "/>
    <s v="GB"/>
    <s v="   "/>
    <n v="38307720"/>
    <n v="90130"/>
    <n v="40240.32"/>
    <s v="GBP"/>
    <n v="522514.15"/>
    <s v="Sant HB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9007375"/>
    <n v="119007375"/>
    <n v="119007375"/>
    <s v="GB69HAND40516213678514            "/>
    <s v="DEPOSIT ACCOUNT                                   "/>
  </r>
  <r>
    <n v="41501265441"/>
    <s v="C6 "/>
    <x v="19"/>
    <n v="41501265441"/>
    <d v="2026-08-02T17:13:16"/>
    <n v="115"/>
    <n v="3"/>
    <s v="MIDLGB2196K"/>
    <s v="GB"/>
    <s v="   "/>
    <n v="25574811"/>
    <n v="403232"/>
    <n v="10000"/>
    <s v="GBP"/>
    <n v="129848.44"/>
    <s v="FUND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47009427"/>
    <n v="147009427"/>
    <n v="147009427"/>
    <s v="GB13HAND40516230631242            "/>
    <s v="CURRENT ACCOUNT                                   "/>
  </r>
  <r>
    <n v="41502622988"/>
    <s v="C7 "/>
    <x v="19"/>
    <n v="41502622988"/>
    <d v="2026-08-03T15:09:14"/>
    <n v="69"/>
    <n v="3"/>
    <s v="MIDLGB2196K"/>
    <s v="GB"/>
    <s v="   "/>
    <n v="9017860"/>
    <n v="403232"/>
    <n v="500000"/>
    <s v="GBP"/>
    <n v="6492420.0099999998"/>
    <s v="FL9762498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8407818"/>
    <n v="108407818"/>
    <n v="108407818"/>
    <s v="GB77HAND40516220597283            "/>
    <s v="CURRENT ACCOUNT                                   "/>
  </r>
  <r>
    <n v="41502365582"/>
    <s v="C7 "/>
    <x v="19"/>
    <n v="41502365582"/>
    <d v="2026-08-03T13:06:28"/>
    <n v="115"/>
    <n v="3"/>
    <s v="           "/>
    <s v="GB"/>
    <s v="   "/>
    <n v="3649830"/>
    <n v="203775"/>
    <n v="100000"/>
    <s v="GBP"/>
    <n v="1298483.98"/>
    <s v="Hartla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4780263"/>
    <n v="124780263"/>
    <n v="124780263"/>
    <s v="GB78HAND40516235771945            "/>
    <s v="DEPOSIT ACCOUNT                                   "/>
  </r>
  <r>
    <n v="41504635203"/>
    <s v="C6 "/>
    <x v="19"/>
    <n v="41504635203"/>
    <d v="2026-08-04T19:08:48"/>
    <n v="115"/>
    <n v="3"/>
    <s v="SRLGGB2LXXX"/>
    <s v="GB"/>
    <s v="   "/>
    <n v="12470709"/>
    <n v="608371"/>
    <n v="18000"/>
    <s v="GBP"/>
    <n v="233727.09"/>
    <s v="INV-08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324746"/>
    <n v="128324746"/>
    <n v="128324746"/>
    <s v="GB15HAND40516225968804            "/>
    <s v="OFFSET ACCOUNT                                    "/>
  </r>
  <r>
    <n v="41506175931"/>
    <s v="C7 "/>
    <x v="19"/>
    <n v="41506175931"/>
    <d v="2026-08-05T19:14:31"/>
    <n v="115"/>
    <n v="3"/>
    <s v="HOABGB2LXXX"/>
    <s v="GB"/>
    <s v="   "/>
    <n v="80166232"/>
    <n v="159900"/>
    <n v="100000"/>
    <s v="GBP"/>
    <n v="1298483.98"/>
    <s v=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7953069"/>
    <n v="107953069"/>
    <n v="107953069"/>
    <s v="GB75HAND40516243001700            "/>
    <s v="DEPOSIT ACCOUNT                                   "/>
  </r>
  <r>
    <n v="41506176989"/>
    <s v="C7 "/>
    <x v="19"/>
    <n v="41506176989"/>
    <d v="2026-08-05T19:15:11"/>
    <n v="115"/>
    <n v="3"/>
    <s v="HOABGB2LXXX"/>
    <s v="GB"/>
    <s v="   "/>
    <n v="80166232"/>
    <n v="159900"/>
    <n v="100000"/>
    <s v="GBP"/>
    <n v="1298483.98"/>
    <s v=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7953069"/>
    <n v="107953069"/>
    <n v="107953069"/>
    <s v="GB75HAND40516243001700            "/>
    <s v="DEPOSIT ACCOUNT                                   "/>
  </r>
  <r>
    <n v="41507542452"/>
    <s v="C6 "/>
    <x v="19"/>
    <n v="41507542452"/>
    <d v="2026-08-06T17:22:33"/>
    <n v="115"/>
    <n v="3"/>
    <s v="           "/>
    <s v="GB"/>
    <s v="   "/>
    <n v="83770192"/>
    <n v="203964"/>
    <n v="99000"/>
    <s v="GBP"/>
    <n v="1285499.1399999999"/>
    <s v="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1831293"/>
    <n v="111831293"/>
    <n v="111831293"/>
    <s v="GB67HAND40516254747962            "/>
    <s v="CURRENT ACCOUNT                                   "/>
  </r>
  <r>
    <n v="41507370412"/>
    <s v="C7 "/>
    <x v="19"/>
    <n v="41507370412"/>
    <d v="2026-08-06T15:48:39"/>
    <n v="69"/>
    <n v="3"/>
    <s v="NWBKGB2113S"/>
    <s v="GB"/>
    <s v="   "/>
    <n v="94457662"/>
    <n v="10541"/>
    <n v="131250"/>
    <s v="GBP"/>
    <n v="1704260.23"/>
    <s v="emmerson heritan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3220075"/>
    <n v="103220075"/>
    <n v="103220075"/>
    <s v="GB96HAND40516263169562            "/>
    <s v="CURRENT ACCOUNT                                   "/>
  </r>
  <r>
    <n v="41506612587"/>
    <s v="C6 "/>
    <x v="19"/>
    <n v="41506612587"/>
    <d v="2026-08-06T08:50:04"/>
    <n v="115"/>
    <n v="3"/>
    <s v="           "/>
    <s v="GB"/>
    <s v="   "/>
    <n v="83280502"/>
    <n v="230120"/>
    <n v="10000"/>
    <s v="GBP"/>
    <n v="129848.44"/>
    <s v="Saving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41378075"/>
    <n v="141378075"/>
    <n v="141378075"/>
    <s v="GB62HAND40516249733637            "/>
    <s v="CURRENT ACCOUNT                                   "/>
  </r>
  <r>
    <n v="41509375121"/>
    <s v="C6 "/>
    <x v="19"/>
    <n v="41509375121"/>
    <d v="2026-08-07T19:50:11"/>
    <n v="115"/>
    <n v="3"/>
    <s v="           "/>
    <s v="GB"/>
    <s v="   "/>
    <n v="93108627"/>
    <n v="206518"/>
    <n v="30000"/>
    <s v="GBP"/>
    <n v="389545.21"/>
    <s v="SH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0890316"/>
    <n v="110890316"/>
    <n v="110890316"/>
    <s v="GB39HAND40516255068663            "/>
    <s v="CURRENT ACCOUNT                                   "/>
  </r>
  <r>
    <n v="41508569084"/>
    <s v="C7 "/>
    <x v="19"/>
    <n v="41508569084"/>
    <d v="2026-08-07T12:36:17"/>
    <n v="115"/>
    <n v="3"/>
    <s v="           "/>
    <s v="GB"/>
    <s v="   "/>
    <n v="90673684"/>
    <n v="204451"/>
    <n v="49999"/>
    <s v="GBP"/>
    <n v="649229.06000000006"/>
    <s v="LF 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5002978"/>
    <n v="145002978"/>
    <n v="145002978"/>
    <s v="GB26HAND40516228562774            "/>
    <s v="CURRENT ACCOUNT                                   "/>
  </r>
  <r>
    <n v="41447499790"/>
    <s v="C6 "/>
    <x v="20"/>
    <n v="41447499790"/>
    <d v="2026-07-01T14:51:00"/>
    <n v="115"/>
    <n v="3"/>
    <s v="BCYPGB2LXXX"/>
    <s v="GB"/>
    <s v="   "/>
    <n v="23901216"/>
    <n v="406377"/>
    <n v="61286.07"/>
    <s v="GBP"/>
    <n v="788427.31"/>
    <s v="Cyn2Y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9309359"/>
    <n v="119309359"/>
    <n v="119309359"/>
    <s v="GB74HAND40516260527581            "/>
    <s v="CURRENT ACCOUNT                                   "/>
  </r>
  <r>
    <n v="41447338345"/>
    <s v="C6 "/>
    <x v="20"/>
    <n v="41447338345"/>
    <d v="2026-07-01T13:37:00"/>
    <n v="115"/>
    <n v="3"/>
    <s v="           "/>
    <s v="GB"/>
    <s v="   "/>
    <n v="42272574"/>
    <n v="406437"/>
    <n v="30143.03"/>
    <s v="GBP"/>
    <n v="387781.2"/>
    <s v="MarcusJJ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9309359"/>
    <n v="119309359"/>
    <n v="119309359"/>
    <s v="GB74HAND40516260527581            "/>
    <s v="CURRENT ACCOUNT                                   "/>
  </r>
  <r>
    <n v="41447336274"/>
    <s v="C6 "/>
    <x v="20"/>
    <n v="41447336274"/>
    <d v="2026-07-01T13:35:58"/>
    <n v="115"/>
    <n v="3"/>
    <s v="           "/>
    <s v="GB"/>
    <s v="   "/>
    <n v="81595468"/>
    <n v="406437"/>
    <n v="30143.01"/>
    <s v="GBP"/>
    <n v="387781.01"/>
    <s v="MarcusCJ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9309359"/>
    <n v="119309359"/>
    <n v="119309359"/>
    <s v="GB74HAND40516260527581            "/>
    <s v="CURRENT ACCOUNT                                   "/>
  </r>
  <r>
    <n v="41451349515"/>
    <s v="C6 "/>
    <x v="20"/>
    <n v="41451349515"/>
    <d v="2026-07-03T16:20:59"/>
    <n v="115"/>
    <n v="3"/>
    <s v="           "/>
    <s v="GB"/>
    <s v="   "/>
    <n v="16281625"/>
    <n v="608407"/>
    <n v="50000"/>
    <s v="GBP"/>
    <n v="645274.81999999995"/>
    <s v="depo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533080"/>
    <n v="128533080"/>
    <n v="128533080"/>
    <s v="GB42HAND40516287347008            "/>
    <s v="CURRENT ACCOUNT MORTGAGE                          "/>
  </r>
  <r>
    <n v="41451347753"/>
    <s v="C6 "/>
    <x v="20"/>
    <n v="41451347753"/>
    <d v="2026-07-03T16:20:08"/>
    <n v="115"/>
    <n v="3"/>
    <s v="           "/>
    <s v="GB"/>
    <s v="   "/>
    <n v="16281625"/>
    <n v="608407"/>
    <n v="100000"/>
    <s v="GBP"/>
    <n v="1290549.53"/>
    <s v="depo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533080"/>
    <n v="128533080"/>
    <n v="128533080"/>
    <s v="GB42HAND40516287347008            "/>
    <s v="CURRENT ACCOUNT MORTGAGE                          "/>
  </r>
  <r>
    <n v="41450795129"/>
    <s v="C6 "/>
    <x v="20"/>
    <n v="41450795129"/>
    <d v="2026-07-03T12:23:56"/>
    <n v="115"/>
    <n v="3"/>
    <s v="SMIWGB2LXXX"/>
    <s v="GB"/>
    <s v="   "/>
    <n v="54606"/>
    <n v="165760"/>
    <n v="25000"/>
    <s v="GBP"/>
    <n v="322637.40999999997"/>
    <s v="Polly Evelyn Gif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2909595"/>
    <n v="102909595"/>
    <n v="102909595"/>
    <s v="GB59HAND40516222636256            "/>
    <s v="CURRENT ACCOUNT                                   "/>
  </r>
  <r>
    <n v="41462850655"/>
    <s v="C6 "/>
    <x v="20"/>
    <n v="41462850655"/>
    <d v="2026-07-10T18:56:19"/>
    <n v="115"/>
    <n v="3"/>
    <s v="MIDLGB2196K"/>
    <s v="GB"/>
    <s v="   "/>
    <n v="10235121"/>
    <n v="403232"/>
    <n v="80000"/>
    <s v="GBP"/>
    <n v="1032439.7"/>
    <s v="PA273125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8525652"/>
    <n v="148525652"/>
    <n v="148525652"/>
    <s v="GB31HAND40516213470842            "/>
    <s v="CURRENT ACCOUNT                                   "/>
  </r>
  <r>
    <n v="41463610727"/>
    <s v="C6 "/>
    <x v="20"/>
    <n v="41463610727"/>
    <d v="2026-07-11T12:10:37"/>
    <n v="115"/>
    <n v="3"/>
    <s v="HBUKGB4153L"/>
    <s v="GB"/>
    <s v="   "/>
    <n v="51396080"/>
    <n v="404031"/>
    <n v="95000"/>
    <s v="GBP"/>
    <n v="1226022.05"/>
    <s v="GIFT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6573514"/>
    <n v="146573514"/>
    <n v="146573514"/>
    <s v="GB84HAND40516234456032            "/>
    <s v="DEPOSIT ACCOUNT                                   "/>
  </r>
  <r>
    <n v="41463606609"/>
    <s v="C6 "/>
    <x v="20"/>
    <n v="41463606609"/>
    <d v="2026-07-11T12:08:46"/>
    <n v="115"/>
    <n v="3"/>
    <s v="NWBKGB2118W"/>
    <s v="GB"/>
    <s v="   "/>
    <n v="57317232"/>
    <n v="555010"/>
    <n v="100000"/>
    <s v="GBP"/>
    <n v="1290549.53"/>
    <s v="GIFT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6573514"/>
    <n v="146573514"/>
    <n v="146573514"/>
    <s v="GB84HAND40516234456032            "/>
    <s v="DEPOSIT ACCOUNT                                   "/>
  </r>
  <r>
    <n v="41463601364"/>
    <s v="C6 "/>
    <x v="20"/>
    <n v="41463601364"/>
    <d v="2026-07-11T12:06:15"/>
    <n v="115"/>
    <n v="3"/>
    <s v="HBUKGB4153L"/>
    <s v="GB"/>
    <s v="   "/>
    <n v="51396080"/>
    <n v="404031"/>
    <n v="100000"/>
    <s v="GBP"/>
    <n v="1290549.53"/>
    <s v="GIFT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6573514"/>
    <n v="146573514"/>
    <n v="146573514"/>
    <s v="GB84HAND40516234456032            "/>
    <s v="DEPOSIT ACCOUNT                                   "/>
  </r>
  <r>
    <n v="41472246859"/>
    <s v="C6 "/>
    <x v="20"/>
    <n v="41472246859"/>
    <d v="2026-07-16T17:50:56"/>
    <n v="69"/>
    <n v="3"/>
    <s v="RBOSGB21528"/>
    <s v="GB"/>
    <s v="   "/>
    <n v="10030747"/>
    <n v="161923"/>
    <n v="250000"/>
    <s v="GBP"/>
    <n v="3226373.98"/>
    <s v="DH to DDJ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7560732"/>
    <n v="107560732"/>
    <n v="107560732"/>
    <s v="GB94HAND40516269781991            "/>
    <s v="CURRENT ACCOUNT                                   "/>
  </r>
  <r>
    <n v="41473431379"/>
    <s v="C6 "/>
    <x v="20"/>
    <n v="41473431379"/>
    <d v="2026-07-17T13:41:27"/>
    <n v="115"/>
    <n v="3"/>
    <s v="           "/>
    <s v="GB"/>
    <s v="   "/>
    <n v="45057828"/>
    <n v="609204"/>
    <n v="25000"/>
    <s v="GBP"/>
    <n v="322637.40999999997"/>
    <s v="45057828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3366470"/>
    <n v="113366470"/>
    <n v="113366470"/>
    <s v="GB33HAND40516220222976            "/>
    <s v="DEPOSIT ACCOUNT NO.2                              "/>
  </r>
  <r>
    <n v="41473429686"/>
    <s v="C6 "/>
    <x v="20"/>
    <n v="41473429686"/>
    <d v="2026-07-17T13:40:45"/>
    <n v="115"/>
    <n v="3"/>
    <s v="           "/>
    <s v="GB"/>
    <s v="   "/>
    <n v="45103897"/>
    <n v="609204"/>
    <n v="25000"/>
    <s v="GBP"/>
    <n v="322637.40999999997"/>
    <s v="45103897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3366470"/>
    <n v="113366470"/>
    <n v="113366470"/>
    <s v="GB33HAND40516220222976            "/>
    <s v="DEPOSIT ACCOUNT NO.2                              "/>
  </r>
  <r>
    <n v="41486220957"/>
    <s v="C6 "/>
    <x v="20"/>
    <n v="41486220957"/>
    <d v="2026-07-24T20:33:07"/>
    <n v="115"/>
    <n v="3"/>
    <s v="           "/>
    <s v="GB"/>
    <s v="   "/>
    <n v="26180505"/>
    <n v="608407"/>
    <n v="100000"/>
    <s v="GBP"/>
    <n v="1298483.98"/>
    <s v="Chase AC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86224304"/>
    <s v="C6 "/>
    <x v="20"/>
    <n v="41486224304"/>
    <d v="2026-07-24T20:35:21"/>
    <n v="115"/>
    <n v="3"/>
    <s v="           "/>
    <s v="GB"/>
    <s v="   "/>
    <n v="26180505"/>
    <n v="608407"/>
    <n v="100000"/>
    <s v="GBP"/>
    <n v="1298483.98"/>
    <s v="Chase AC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99919515"/>
    <s v="C6 "/>
    <x v="20"/>
    <n v="41499919515"/>
    <d v="2026-08-01T16:48:29"/>
    <n v="115"/>
    <n v="3"/>
    <s v="           "/>
    <s v="GB"/>
    <s v="   "/>
    <n v="38307720"/>
    <n v="90130"/>
    <n v="40240.32"/>
    <s v="GBP"/>
    <n v="522514.15"/>
    <s v="Sant HB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9007375"/>
    <n v="119007375"/>
    <n v="119007375"/>
    <s v="GB69HAND40516213678514            "/>
    <s v="DEPOSIT ACCOUNT                                   "/>
  </r>
  <r>
    <n v="41501265441"/>
    <s v="C6 "/>
    <x v="20"/>
    <n v="41501265441"/>
    <d v="2026-08-02T17:13:16"/>
    <n v="115"/>
    <n v="3"/>
    <s v="MIDLGB2196K"/>
    <s v="GB"/>
    <s v="   "/>
    <n v="25574811"/>
    <n v="403232"/>
    <n v="10000"/>
    <s v="GBP"/>
    <n v="129848.44"/>
    <s v="FUND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47009427"/>
    <n v="147009427"/>
    <n v="147009427"/>
    <s v="GB13HAND40516230631242            "/>
    <s v="CURRENT ACCOUNT                                   "/>
  </r>
  <r>
    <n v="41504635203"/>
    <s v="C6 "/>
    <x v="20"/>
    <n v="41504635203"/>
    <d v="2026-08-04T19:08:48"/>
    <n v="115"/>
    <n v="3"/>
    <s v="SRLGGB2LXXX"/>
    <s v="GB"/>
    <s v="   "/>
    <n v="12470709"/>
    <n v="608371"/>
    <n v="18000"/>
    <s v="GBP"/>
    <n v="233727.09"/>
    <s v="INV-08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324746"/>
    <n v="128324746"/>
    <n v="128324746"/>
    <s v="GB15HAND40516225968804            "/>
    <s v="OFFSET ACCOUNT                                    "/>
  </r>
  <r>
    <n v="41506612587"/>
    <s v="C6 "/>
    <x v="20"/>
    <n v="41506612587"/>
    <d v="2026-08-06T08:50:04"/>
    <n v="115"/>
    <n v="3"/>
    <s v="           "/>
    <s v="GB"/>
    <s v="   "/>
    <n v="83280502"/>
    <n v="230120"/>
    <n v="10000"/>
    <s v="GBP"/>
    <n v="129848.44"/>
    <s v="Saving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41378075"/>
    <n v="141378075"/>
    <n v="141378075"/>
    <s v="GB62HAND40516249733637            "/>
    <s v="CURRENT ACCOUNT                                   "/>
  </r>
  <r>
    <n v="41509375121"/>
    <s v="C6 "/>
    <x v="20"/>
    <n v="41509375121"/>
    <d v="2026-08-07T19:50:11"/>
    <n v="115"/>
    <n v="3"/>
    <s v="           "/>
    <s v="GB"/>
    <s v="   "/>
    <n v="93108627"/>
    <n v="206518"/>
    <n v="30000"/>
    <s v="GBP"/>
    <n v="389545.21"/>
    <s v="SH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0890316"/>
    <n v="110890316"/>
    <n v="110890316"/>
    <s v="GB39HAND40516255068663            "/>
    <s v="CURRENT ACCOUNT                                   "/>
  </r>
  <r>
    <n v="41447499790"/>
    <s v="C6 "/>
    <x v="21"/>
    <n v="41447499790"/>
    <d v="2026-07-01T14:51:00"/>
    <n v="115"/>
    <n v="3"/>
    <s v="BCYPGB2LXXX"/>
    <s v="GB"/>
    <s v="   "/>
    <n v="23901216"/>
    <n v="406377"/>
    <n v="61286.07"/>
    <s v="GBP"/>
    <n v="788427.31"/>
    <s v="Cyn2Y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9309359"/>
    <n v="119309359"/>
    <n v="119309359"/>
    <s v="GB74HAND40516260527581            "/>
    <s v="CURRENT ACCOUNT                                   "/>
  </r>
  <r>
    <n v="41447338345"/>
    <s v="C6 "/>
    <x v="21"/>
    <n v="41447338345"/>
    <d v="2026-07-01T13:37:00"/>
    <n v="115"/>
    <n v="3"/>
    <s v="           "/>
    <s v="GB"/>
    <s v="   "/>
    <n v="42272574"/>
    <n v="406437"/>
    <n v="30143.03"/>
    <s v="GBP"/>
    <n v="387781.2"/>
    <s v="MarcusJJ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9309359"/>
    <n v="119309359"/>
    <n v="119309359"/>
    <s v="GB74HAND40516260527581            "/>
    <s v="CURRENT ACCOUNT                                   "/>
  </r>
  <r>
    <n v="41446946687"/>
    <s v="C7 "/>
    <x v="21"/>
    <n v="41446946687"/>
    <d v="2026-07-01T10:43:15"/>
    <n v="69"/>
    <n v="3"/>
    <s v="           "/>
    <s v="GB"/>
    <s v="   "/>
    <n v="80432571"/>
    <n v="200771"/>
    <n v="320000"/>
    <s v="GBP"/>
    <n v="4116705.96"/>
    <s v="pay back of 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88738513"/>
    <n v="88738513"/>
    <n v="88738513"/>
    <s v="GB12HAND40516238616979            "/>
    <s v="DEPOSIT ACCOUNT                                   "/>
  </r>
  <r>
    <n v="41451347753"/>
    <s v="C6 "/>
    <x v="21"/>
    <n v="41451347753"/>
    <d v="2026-07-03T16:20:08"/>
    <n v="115"/>
    <n v="3"/>
    <s v="           "/>
    <s v="GB"/>
    <s v="   "/>
    <n v="16281625"/>
    <n v="608407"/>
    <n v="100000"/>
    <s v="GBP"/>
    <n v="1290549.53"/>
    <s v="depo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533080"/>
    <n v="128533080"/>
    <n v="128533080"/>
    <s v="GB42HAND40516287347008            "/>
    <s v="CURRENT ACCOUNT MORTGAGE                          "/>
  </r>
  <r>
    <n v="41451344908"/>
    <s v="C7 "/>
    <x v="21"/>
    <n v="41451344908"/>
    <d v="2026-07-03T16:18:56"/>
    <n v="115"/>
    <n v="3"/>
    <s v="           "/>
    <s v="GB"/>
    <s v="   "/>
    <n v="16281625"/>
    <n v="608407"/>
    <n v="100000"/>
    <s v="GBP"/>
    <n v="1290549.53"/>
    <s v="depo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533080"/>
    <n v="128533080"/>
    <n v="128533080"/>
    <s v="GB42HAND40516287347008            "/>
    <s v="CURRENT ACCOUNT MORTGAGE                          "/>
  </r>
  <r>
    <n v="41451349515"/>
    <s v="C6 "/>
    <x v="21"/>
    <n v="41451349515"/>
    <d v="2026-07-03T16:20:59"/>
    <n v="115"/>
    <n v="3"/>
    <s v="           "/>
    <s v="GB"/>
    <s v="   "/>
    <n v="16281625"/>
    <n v="608407"/>
    <n v="50000"/>
    <s v="GBP"/>
    <n v="645274.81999999995"/>
    <s v="depo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533080"/>
    <n v="128533080"/>
    <n v="128533080"/>
    <s v="GB42HAND40516287347008            "/>
    <s v="CURRENT ACCOUNT MORTGAGE                          "/>
  </r>
  <r>
    <n v="41450795129"/>
    <s v="C6 "/>
    <x v="21"/>
    <n v="41450795129"/>
    <d v="2026-07-03T12:23:56"/>
    <n v="115"/>
    <n v="3"/>
    <s v="SMIWGB2LXXX"/>
    <s v="GB"/>
    <s v="   "/>
    <n v="54606"/>
    <n v="165760"/>
    <n v="25000"/>
    <s v="GBP"/>
    <n v="322637.40999999997"/>
    <s v="Polly Evelyn Gif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2909595"/>
    <n v="102909595"/>
    <n v="102909595"/>
    <s v="GB59HAND40516222636256            "/>
    <s v="CURRENT ACCOUNT                                   "/>
  </r>
  <r>
    <n v="41450496287"/>
    <s v="C6 "/>
    <x v="21"/>
    <n v="41450496287"/>
    <d v="2026-07-03T09:58:23"/>
    <n v="115"/>
    <n v="3"/>
    <s v="SMIWGB2LXXX"/>
    <s v="GB"/>
    <s v="   "/>
    <n v="54606"/>
    <n v="165760"/>
    <n v="25000"/>
    <s v="GBP"/>
    <n v="322637.40999999997"/>
    <s v="Polly Evelyn Gif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2909595"/>
    <n v="102909595"/>
    <n v="102909595"/>
    <s v="GB59HAND40516222636256            "/>
    <s v="CURRENT ACCOUNT                                   "/>
  </r>
  <r>
    <n v="41459674249"/>
    <s v="C7 "/>
    <x v="21"/>
    <n v="41459674249"/>
    <d v="2026-07-08T21:44:36"/>
    <n v="115"/>
    <n v="3"/>
    <s v="LOYDGB21F45"/>
    <s v="GB"/>
    <s v="   "/>
    <n v="1362320"/>
    <n v="304067"/>
    <n v="20000"/>
    <s v="GBP"/>
    <n v="258109.93"/>
    <s v="EM1584363-0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5716052"/>
    <n v="115716052"/>
    <n v="115716052"/>
    <s v="GB39HAND40516275776999            "/>
    <s v="MR &amp; MRS A R WOOD HOUSE ACCOUNT                   "/>
  </r>
  <r>
    <n v="41458164248"/>
    <s v="C7 "/>
    <x v="21"/>
    <n v="41458164248"/>
    <d v="2026-07-08T01:16:08"/>
    <n v="115"/>
    <n v="3"/>
    <s v="YORKGB21200"/>
    <s v="GB"/>
    <s v="   "/>
    <n v="13389011"/>
    <n v="50200"/>
    <n v="50000"/>
    <s v="GBP"/>
    <n v="645274.81999999995"/>
    <s v="Directors 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5587352"/>
    <n v="125587352"/>
    <n v="125587352"/>
    <s v="GB98HAND40516267160882            "/>
    <s v="CURRENT ACCOUNT                                   "/>
  </r>
  <r>
    <n v="41462839274"/>
    <s v="C7 "/>
    <x v="21"/>
    <n v="41462839274"/>
    <d v="2026-07-10T18:49:28"/>
    <n v="115"/>
    <n v="3"/>
    <s v="MIDLGB2196K"/>
    <s v="GB"/>
    <s v="   "/>
    <n v="10235121"/>
    <n v="403232"/>
    <n v="100000"/>
    <s v="GBP"/>
    <n v="1290549.53"/>
    <s v="PA273125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8525652"/>
    <n v="148525652"/>
    <n v="148525652"/>
    <s v="GB31HAND40516213470842            "/>
    <s v="CURRENT ACCOUNT                                   "/>
  </r>
  <r>
    <n v="41462850655"/>
    <s v="C6 "/>
    <x v="21"/>
    <n v="41462850655"/>
    <d v="2026-07-10T18:56:19"/>
    <n v="115"/>
    <n v="3"/>
    <s v="MIDLGB2196K"/>
    <s v="GB"/>
    <s v="   "/>
    <n v="10235121"/>
    <n v="403232"/>
    <n v="80000"/>
    <s v="GBP"/>
    <n v="1032439.7"/>
    <s v="PA273125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8525652"/>
    <n v="148525652"/>
    <n v="148525652"/>
    <s v="GB31HAND40516213470842            "/>
    <s v="CURRENT ACCOUNT                                   "/>
  </r>
  <r>
    <n v="41463606609"/>
    <s v="C6 "/>
    <x v="21"/>
    <n v="41463606609"/>
    <d v="2026-07-11T12:08:46"/>
    <n v="115"/>
    <n v="3"/>
    <s v="NWBKGB2118W"/>
    <s v="GB"/>
    <s v="   "/>
    <n v="57317232"/>
    <n v="555010"/>
    <n v="100000"/>
    <s v="GBP"/>
    <n v="1290549.53"/>
    <s v="GIFT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6573514"/>
    <n v="146573514"/>
    <n v="146573514"/>
    <s v="GB84HAND40516234456032            "/>
    <s v="DEPOSIT ACCOUNT                                   "/>
  </r>
  <r>
    <n v="41463601364"/>
    <s v="C6 "/>
    <x v="21"/>
    <n v="41463601364"/>
    <d v="2026-07-11T12:06:15"/>
    <n v="115"/>
    <n v="3"/>
    <s v="HBUKGB4153L"/>
    <s v="GB"/>
    <s v="   "/>
    <n v="51396080"/>
    <n v="404031"/>
    <n v="100000"/>
    <s v="GBP"/>
    <n v="1290549.53"/>
    <s v="GIFT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6573514"/>
    <n v="146573514"/>
    <n v="146573514"/>
    <s v="GB84HAND40516234456032            "/>
    <s v="DEPOSIT ACCOUNT                                   "/>
  </r>
  <r>
    <n v="41463610727"/>
    <s v="C6 "/>
    <x v="21"/>
    <n v="41463610727"/>
    <d v="2026-07-11T12:10:37"/>
    <n v="115"/>
    <n v="3"/>
    <s v="HBUKGB4153L"/>
    <s v="GB"/>
    <s v="   "/>
    <n v="51396080"/>
    <n v="404031"/>
    <n v="95000"/>
    <s v="GBP"/>
    <n v="1226022.05"/>
    <s v="GIFT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6573514"/>
    <n v="146573514"/>
    <n v="146573514"/>
    <s v="GB84HAND40516234456032            "/>
    <s v="DEPOSIT ACCOUNT                                   "/>
  </r>
  <r>
    <n v="41466468310"/>
    <s v="C7 "/>
    <x v="21"/>
    <n v="41466468310"/>
    <d v="2026-07-13T13:28:22"/>
    <n v="115"/>
    <n v="3"/>
    <s v="MYMBGB2LXXX"/>
    <s v="GB"/>
    <s v="   "/>
    <n v="58219401"/>
    <n v="230580"/>
    <n v="41000"/>
    <s v="GBP"/>
    <n v="529125.35"/>
    <s v="Funds Transfer 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35057461"/>
    <n v="135057461"/>
    <n v="135057461"/>
    <s v="GB87HAND40516238666845            "/>
    <s v="DEPOSIT ACCOUNT                                   "/>
  </r>
  <r>
    <n v="41472246859"/>
    <s v="C6 "/>
    <x v="21"/>
    <n v="41472246859"/>
    <d v="2026-07-16T17:50:56"/>
    <n v="69"/>
    <n v="3"/>
    <s v="RBOSGB21528"/>
    <s v="GB"/>
    <s v="   "/>
    <n v="10030747"/>
    <n v="161923"/>
    <n v="250000"/>
    <s v="GBP"/>
    <n v="3226373.98"/>
    <s v="DH to DDJ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7560732"/>
    <n v="107560732"/>
    <n v="107560732"/>
    <s v="GB94HAND40516269781991            "/>
    <s v="CURRENT ACCOUNT                                   "/>
  </r>
  <r>
    <n v="41473431379"/>
    <s v="C6 "/>
    <x v="21"/>
    <n v="41473431379"/>
    <d v="2026-07-17T13:41:27"/>
    <n v="115"/>
    <n v="3"/>
    <s v="           "/>
    <s v="GB"/>
    <s v="   "/>
    <n v="45057828"/>
    <n v="609204"/>
    <n v="25000"/>
    <s v="GBP"/>
    <n v="322637.40999999997"/>
    <s v="45057828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3366470"/>
    <n v="113366470"/>
    <n v="113366470"/>
    <s v="GB33HAND40516220222976            "/>
    <s v="DEPOSIT ACCOUNT NO.2                              "/>
  </r>
  <r>
    <n v="41475226924"/>
    <s v="C7 "/>
    <x v="21"/>
    <n v="41475226924"/>
    <d v="2026-07-18T16:28:07"/>
    <n v="115"/>
    <n v="3"/>
    <s v="           "/>
    <s v="GB"/>
    <s v="   "/>
    <n v="24510889"/>
    <n v="230163"/>
    <n v="10000"/>
    <s v="GBP"/>
    <n v="129054.96"/>
    <s v="Trish Revolu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5686289"/>
    <n v="115686289"/>
    <n v="115686289"/>
    <s v="GB57HAND40516236962610            "/>
    <s v="DEPOSIT ACCOUNT                                   "/>
  </r>
  <r>
    <n v="41483063386"/>
    <s v="C6 "/>
    <x v="21"/>
    <n v="41483063386"/>
    <d v="2026-07-23T15:53:26"/>
    <n v="115"/>
    <n v="3"/>
    <s v="           "/>
    <s v="GB"/>
    <s v="   "/>
    <n v="83372888"/>
    <n v="608407"/>
    <n v="80000"/>
    <s v="GBP"/>
    <n v="1038787.21"/>
    <s v="TVR payment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2720485"/>
    <n v="122720485"/>
    <n v="122720485"/>
    <s v="GB47HAND40516224759996            "/>
    <s v="CURRENT ACCOUNT                                   "/>
  </r>
  <r>
    <n v="41486220957"/>
    <s v="C6 "/>
    <x v="21"/>
    <n v="41486220957"/>
    <d v="2026-07-24T20:33:07"/>
    <n v="115"/>
    <n v="3"/>
    <s v="           "/>
    <s v="GB"/>
    <s v="   "/>
    <n v="26180505"/>
    <n v="608407"/>
    <n v="100000"/>
    <s v="GBP"/>
    <n v="1298483.98"/>
    <s v="Chase AC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86216916"/>
    <s v="C6 "/>
    <x v="21"/>
    <n v="41486216916"/>
    <d v="2026-07-24T20:30:36"/>
    <n v="115"/>
    <n v="3"/>
    <s v="           "/>
    <s v="GB"/>
    <s v="   "/>
    <n v="26180505"/>
    <n v="608407"/>
    <n v="100000"/>
    <s v="GBP"/>
    <n v="1298483.98"/>
    <s v="CHA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86224304"/>
    <s v="C6 "/>
    <x v="21"/>
    <n v="41486224304"/>
    <d v="2026-07-24T20:35:21"/>
    <n v="115"/>
    <n v="3"/>
    <s v="           "/>
    <s v="GB"/>
    <s v="   "/>
    <n v="26180505"/>
    <n v="608407"/>
    <n v="100000"/>
    <s v="GBP"/>
    <n v="1298483.98"/>
    <s v="Chase AC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92391683"/>
    <s v="C7 "/>
    <x v="21"/>
    <n v="41492391683"/>
    <d v="2026-07-28T10:56:27"/>
    <n v="115"/>
    <n v="3"/>
    <s v="           "/>
    <s v="GB"/>
    <s v="   "/>
    <n v="43255473"/>
    <n v="608407"/>
    <n v="25000"/>
    <s v="GBP"/>
    <n v="324621"/>
    <s v="Trf to saving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5377780"/>
    <n v="115377780"/>
    <n v="115377780"/>
    <s v="GB49HAND40516276240479            "/>
    <s v="DEPOSIT ACCOUNT                                   "/>
  </r>
  <r>
    <n v="41497065241"/>
    <s v="C7 "/>
    <x v="21"/>
    <n v="41497065241"/>
    <d v="2026-07-30T20:25:30"/>
    <n v="115"/>
    <n v="3"/>
    <s v="           "/>
    <s v="GB"/>
    <s v="   "/>
    <n v="73002616"/>
    <n v="206155"/>
    <n v="14644.06"/>
    <s v="GBP"/>
    <n v="190150.8"/>
    <s v="AWI trust tax 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7888564"/>
    <n v="125780189"/>
    <n v="147888564"/>
    <s v="GB40HAND40516225024544            "/>
    <s v="DEPOSIT ACCOUNT                                   "/>
  </r>
  <r>
    <n v="41499878714"/>
    <s v="C7 "/>
    <x v="21"/>
    <n v="41499878714"/>
    <d v="2026-08-01T16:21:09"/>
    <n v="115"/>
    <n v="3"/>
    <s v="           "/>
    <s v="GB"/>
    <s v="   "/>
    <n v="10475655"/>
    <n v="40831"/>
    <n v="50000"/>
    <s v="GBP"/>
    <n v="649241.99"/>
    <s v="Camilla Bourqu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5779995"/>
    <n v="105779995"/>
    <n v="105779995"/>
    <s v="GB17HAND40516212615263            "/>
    <s v="CURRENT ACCOUNT                                   "/>
  </r>
  <r>
    <n v="41499919515"/>
    <s v="C6 "/>
    <x v="21"/>
    <n v="41499919515"/>
    <d v="2026-08-01T16:48:29"/>
    <n v="115"/>
    <n v="3"/>
    <s v="           "/>
    <s v="GB"/>
    <s v="   "/>
    <n v="38307720"/>
    <n v="90130"/>
    <n v="40240.32"/>
    <s v="GBP"/>
    <n v="522514.15"/>
    <s v="Sant HB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9007375"/>
    <n v="119007375"/>
    <n v="119007375"/>
    <s v="GB69HAND40516213678514            "/>
    <s v="DEPOSIT ACCOUNT                                   "/>
  </r>
  <r>
    <n v="41501265441"/>
    <s v="C6 "/>
    <x v="21"/>
    <n v="41501265441"/>
    <d v="2026-08-02T17:13:16"/>
    <n v="115"/>
    <n v="3"/>
    <s v="MIDLGB2196K"/>
    <s v="GB"/>
    <s v="   "/>
    <n v="25574811"/>
    <n v="403232"/>
    <n v="10000"/>
    <s v="GBP"/>
    <n v="129848.44"/>
    <s v="FUND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47009427"/>
    <n v="147009427"/>
    <n v="147009427"/>
    <s v="GB13HAND40516230631242            "/>
    <s v="CURRENT ACCOUNT                                   "/>
  </r>
  <r>
    <n v="41502622988"/>
    <s v="C7 "/>
    <x v="21"/>
    <n v="41502622988"/>
    <d v="2026-08-03T15:09:14"/>
    <n v="69"/>
    <n v="3"/>
    <s v="MIDLGB2196K"/>
    <s v="GB"/>
    <s v="   "/>
    <n v="9017860"/>
    <n v="403232"/>
    <n v="500000"/>
    <s v="GBP"/>
    <n v="6492420.0099999998"/>
    <s v="FL9762498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8407818"/>
    <n v="108407818"/>
    <n v="108407818"/>
    <s v="GB77HAND40516220597283            "/>
    <s v="CURRENT ACCOUNT                                   "/>
  </r>
  <r>
    <n v="41502365582"/>
    <s v="C7 "/>
    <x v="21"/>
    <n v="41502365582"/>
    <d v="2026-08-03T13:06:28"/>
    <n v="115"/>
    <n v="3"/>
    <s v="           "/>
    <s v="GB"/>
    <s v="   "/>
    <n v="3649830"/>
    <n v="203775"/>
    <n v="100000"/>
    <s v="GBP"/>
    <n v="1298483.98"/>
    <s v="Hartla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4780263"/>
    <n v="124780263"/>
    <n v="124780263"/>
    <s v="GB78HAND40516235771945            "/>
    <s v="DEPOSIT ACCOUNT                                   "/>
  </r>
  <r>
    <n v="41504635203"/>
    <s v="C6 "/>
    <x v="21"/>
    <n v="41504635203"/>
    <d v="2026-08-04T19:08:48"/>
    <n v="115"/>
    <n v="3"/>
    <s v="SRLGGB2LXXX"/>
    <s v="GB"/>
    <s v="   "/>
    <n v="12470709"/>
    <n v="608371"/>
    <n v="18000"/>
    <s v="GBP"/>
    <n v="233727.09"/>
    <s v="INV-08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324746"/>
    <n v="128324746"/>
    <n v="128324746"/>
    <s v="GB15HAND40516225968804            "/>
    <s v="OFFSET ACCOUNT                                    "/>
  </r>
  <r>
    <n v="41506176989"/>
    <s v="C7 "/>
    <x v="21"/>
    <n v="41506176989"/>
    <d v="2026-08-05T19:15:11"/>
    <n v="115"/>
    <n v="3"/>
    <s v="HOABGB2LXXX"/>
    <s v="GB"/>
    <s v="   "/>
    <n v="80166232"/>
    <n v="159900"/>
    <n v="100000"/>
    <s v="GBP"/>
    <n v="1298483.98"/>
    <s v=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7953069"/>
    <n v="107953069"/>
    <n v="107953069"/>
    <s v="GB75HAND40516243001700            "/>
    <s v="DEPOSIT ACCOUNT                                   "/>
  </r>
  <r>
    <n v="41507542452"/>
    <s v="C6 "/>
    <x v="21"/>
    <n v="41507542452"/>
    <d v="2026-08-06T17:22:33"/>
    <n v="115"/>
    <n v="3"/>
    <s v="           "/>
    <s v="GB"/>
    <s v="   "/>
    <n v="83770192"/>
    <n v="203964"/>
    <n v="99000"/>
    <s v="GBP"/>
    <n v="1285499.1399999999"/>
    <s v="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1831293"/>
    <n v="111831293"/>
    <n v="111831293"/>
    <s v="GB67HAND40516254747962            "/>
    <s v="CURRENT ACCOUNT                                   "/>
  </r>
  <r>
    <n v="41506612587"/>
    <s v="C6 "/>
    <x v="21"/>
    <n v="41506612587"/>
    <d v="2026-08-06T08:50:04"/>
    <n v="115"/>
    <n v="3"/>
    <s v="           "/>
    <s v="GB"/>
    <s v="   "/>
    <n v="83280502"/>
    <n v="230120"/>
    <n v="10000"/>
    <s v="GBP"/>
    <n v="129848.44"/>
    <s v="Saving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41378075"/>
    <n v="141378075"/>
    <n v="141378075"/>
    <s v="GB62HAND40516249733637            "/>
    <s v="CURRENT ACCOUNT                                   "/>
  </r>
  <r>
    <n v="41509375121"/>
    <s v="C6 "/>
    <x v="21"/>
    <n v="41509375121"/>
    <d v="2026-08-07T19:50:11"/>
    <n v="115"/>
    <n v="3"/>
    <s v="           "/>
    <s v="GB"/>
    <s v="   "/>
    <n v="93108627"/>
    <n v="206518"/>
    <n v="30000"/>
    <s v="GBP"/>
    <n v="389545.21"/>
    <s v="SH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0890316"/>
    <n v="110890316"/>
    <n v="110890316"/>
    <s v="GB39HAND40516255068663            "/>
    <s v="CURRENT ACCOUNT                                   "/>
  </r>
  <r>
    <n v="41508569084"/>
    <s v="C7 "/>
    <x v="21"/>
    <n v="41508569084"/>
    <d v="2026-08-07T12:36:17"/>
    <n v="115"/>
    <n v="3"/>
    <s v="           "/>
    <s v="GB"/>
    <s v="   "/>
    <n v="90673684"/>
    <n v="204451"/>
    <n v="49999"/>
    <s v="GBP"/>
    <n v="649229.06000000006"/>
    <s v="LF 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5002978"/>
    <n v="145002978"/>
    <n v="145002978"/>
    <s v="GB26HAND40516228562774            "/>
    <s v="CURRENT ACCOUNT                                   "/>
  </r>
  <r>
    <n v="41447927653"/>
    <s v="C7 "/>
    <x v="22"/>
    <n v="41447927653"/>
    <d v="2026-07-01T18:13:36"/>
    <n v="115"/>
    <n v="3"/>
    <s v="           "/>
    <s v="GB"/>
    <s v="   "/>
    <n v="56183501"/>
    <n v="600155"/>
    <n v="100000"/>
    <s v="GBP"/>
    <n v="1286470.56"/>
    <s v="MR MARK WATS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3570774"/>
    <n v="113570774"/>
    <n v="113570774"/>
    <s v="GB43HAND40516263930414            "/>
    <s v="DEPOSIT ACCOUNT NO 2                              "/>
  </r>
  <r>
    <n v="41447679199"/>
    <s v="C7 "/>
    <x v="22"/>
    <n v="41447679199"/>
    <d v="2026-07-01T16:13:02"/>
    <n v="115"/>
    <n v="3"/>
    <s v="           "/>
    <s v="GB"/>
    <s v="   "/>
    <n v="9204083"/>
    <n v="40075"/>
    <n v="50000"/>
    <s v="GBP"/>
    <n v="643235.32999999996"/>
    <s v="Tfr Hdlsb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2592674"/>
    <n v="142592674"/>
    <n v="142592674"/>
    <s v="GB31HAND40516237199079            "/>
    <s v="DEPOSIT ACCOUNT                                   "/>
  </r>
  <r>
    <n v="41447499790"/>
    <s v="C6 "/>
    <x v="22"/>
    <n v="41447499790"/>
    <d v="2026-07-01T14:51:00"/>
    <n v="115"/>
    <n v="3"/>
    <s v="BCYPGB2LXXX"/>
    <s v="GB"/>
    <s v="   "/>
    <n v="23901216"/>
    <n v="406377"/>
    <n v="61286.07"/>
    <s v="GBP"/>
    <n v="788427.31"/>
    <s v="Cyn2Y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9309359"/>
    <n v="119309359"/>
    <n v="119309359"/>
    <s v="GB74HAND40516260527581            "/>
    <s v="CURRENT ACCOUNT                                   "/>
  </r>
  <r>
    <n v="41447332030"/>
    <s v="C7 "/>
    <x v="22"/>
    <n v="41447332030"/>
    <d v="2026-07-01T13:33:53"/>
    <n v="115"/>
    <n v="3"/>
    <s v="           "/>
    <s v="GB"/>
    <s v="   "/>
    <n v="9204083"/>
    <n v="40075"/>
    <n v="50000"/>
    <s v="GBP"/>
    <n v="643235.32999999996"/>
    <s v="Tfr Hdlsb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2592674"/>
    <n v="142592674"/>
    <n v="142592674"/>
    <s v="GB31HAND40516237199079            "/>
    <s v="DEPOSIT ACCOUNT                                   "/>
  </r>
  <r>
    <n v="41446618157"/>
    <s v="C7 "/>
    <x v="22"/>
    <n v="41446618157"/>
    <d v="2026-07-01T06:39:17"/>
    <n v="115"/>
    <n v="3"/>
    <s v="           "/>
    <s v="GB"/>
    <s v="   "/>
    <n v="10779032"/>
    <n v="201854"/>
    <n v="50000"/>
    <s v="GBP"/>
    <n v="643235.32999999996"/>
    <s v="Tfr Hbnk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2592674"/>
    <n v="142592674"/>
    <n v="142592674"/>
    <s v="GB31HAND40516237199079            "/>
    <s v="DEPOSIT ACCOUNT                                   "/>
  </r>
  <r>
    <n v="41449578507"/>
    <s v="C7 "/>
    <x v="22"/>
    <n v="41449578507"/>
    <d v="2026-07-02T16:50:44"/>
    <n v="115"/>
    <n v="3"/>
    <s v="           "/>
    <s v="GB"/>
    <s v="   "/>
    <n v="61658919"/>
    <n v="406437"/>
    <n v="90000"/>
    <s v="GBP"/>
    <n v="1161494.57"/>
    <s v="Vi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86816444"/>
    <n v="86816444"/>
    <n v="86816444"/>
    <s v="GB35HAND40516249169001            "/>
    <s v="CURRENT ACCOUNT                                   "/>
  </r>
  <r>
    <n v="41448593472"/>
    <s v="C6 "/>
    <x v="22"/>
    <n v="41448593472"/>
    <d v="2026-07-02T08:58:23"/>
    <n v="115"/>
    <n v="3"/>
    <s v="           "/>
    <s v="GB"/>
    <s v="   "/>
    <n v="9204083"/>
    <n v="40075"/>
    <n v="50000"/>
    <s v="GBP"/>
    <n v="645274.81999999995"/>
    <s v="Tfr Hdlsb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2592674"/>
    <n v="142592674"/>
    <n v="142592674"/>
    <s v="GB31HAND40516237199079            "/>
    <s v="DEPOSIT ACCOUNT                                   "/>
  </r>
  <r>
    <n v="41451779027"/>
    <s v="C7 "/>
    <x v="22"/>
    <n v="41451779027"/>
    <d v="2026-07-03T20:30:14"/>
    <n v="115"/>
    <n v="3"/>
    <s v="           "/>
    <s v="GB"/>
    <s v="   "/>
    <n v="20881107"/>
    <n v="236247"/>
    <n v="100000"/>
    <s v="GBP"/>
    <n v="1290549.53"/>
    <s v="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7621456"/>
    <n v="127621456"/>
    <n v="127621456"/>
    <s v="GB86HAND40516239994890            "/>
    <s v="CURRENT ACCOUNT                                   "/>
  </r>
  <r>
    <n v="41451344908"/>
    <s v="C7 "/>
    <x v="22"/>
    <n v="41451344908"/>
    <d v="2026-07-03T16:18:56"/>
    <n v="115"/>
    <n v="3"/>
    <s v="           "/>
    <s v="GB"/>
    <s v="   "/>
    <n v="16281625"/>
    <n v="608407"/>
    <n v="100000"/>
    <s v="GBP"/>
    <n v="1290549.53"/>
    <s v="depo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533080"/>
    <n v="128533080"/>
    <n v="128533080"/>
    <s v="GB42HAND40516287347008            "/>
    <s v="CURRENT ACCOUNT MORTGAGE                          "/>
  </r>
  <r>
    <n v="41451347753"/>
    <s v="C6 "/>
    <x v="22"/>
    <n v="41451347753"/>
    <d v="2026-07-03T16:20:08"/>
    <n v="115"/>
    <n v="3"/>
    <s v="           "/>
    <s v="GB"/>
    <s v="   "/>
    <n v="16281625"/>
    <n v="608407"/>
    <n v="100000"/>
    <s v="GBP"/>
    <n v="1290549.53"/>
    <s v="depo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533080"/>
    <n v="128533080"/>
    <n v="128533080"/>
    <s v="GB42HAND40516287347008            "/>
    <s v="CURRENT ACCOUNT MORTGAGE                          "/>
  </r>
  <r>
    <n v="41451349515"/>
    <s v="C6 "/>
    <x v="22"/>
    <n v="41451349515"/>
    <d v="2026-07-03T16:20:59"/>
    <n v="115"/>
    <n v="3"/>
    <s v="           "/>
    <s v="GB"/>
    <s v="   "/>
    <n v="16281625"/>
    <n v="608407"/>
    <n v="50000"/>
    <s v="GBP"/>
    <n v="645274.81999999995"/>
    <s v="depo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533080"/>
    <n v="128533080"/>
    <n v="128533080"/>
    <s v="GB42HAND40516287347008            "/>
    <s v="CURRENT ACCOUNT MORTGAGE                          "/>
  </r>
  <r>
    <n v="41451241623"/>
    <s v="C7 "/>
    <x v="22"/>
    <n v="41451241623"/>
    <d v="2026-07-03T15:32:24"/>
    <n v="115"/>
    <n v="3"/>
    <s v="           "/>
    <s v="GB"/>
    <s v="   "/>
    <n v="16281625"/>
    <n v="608407"/>
    <n v="100000"/>
    <s v="GBP"/>
    <n v="1290549.53"/>
    <s v="depo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533080"/>
    <n v="128533080"/>
    <n v="128533080"/>
    <s v="GB42HAND40516287347008            "/>
    <s v="CURRENT ACCOUNT MORTGAGE                          "/>
  </r>
  <r>
    <n v="41450493081"/>
    <s v="C7 "/>
    <x v="22"/>
    <n v="41450493081"/>
    <d v="2026-07-03T09:56:46"/>
    <n v="115"/>
    <n v="3"/>
    <s v="SMIWGB2LXXX"/>
    <s v="GB"/>
    <s v="   "/>
    <n v="54606"/>
    <n v="165760"/>
    <n v="100000"/>
    <s v="GBP"/>
    <n v="1290549.53"/>
    <s v="Polly Evelyn Gif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2909595"/>
    <n v="102909595"/>
    <n v="102909595"/>
    <s v="GB59HAND40516222636256            "/>
    <s v="CURRENT ACCOUNT                                   "/>
  </r>
  <r>
    <n v="41450490464"/>
    <s v="C7 "/>
    <x v="22"/>
    <n v="41450490464"/>
    <d v="2026-07-03T09:55:04"/>
    <n v="115"/>
    <n v="3"/>
    <s v="SMIWGB2LXXX"/>
    <s v="GB"/>
    <s v="   "/>
    <n v="54606"/>
    <n v="165760"/>
    <n v="100000"/>
    <s v="GBP"/>
    <n v="1290549.53"/>
    <s v="Polly Evelyn Gif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2909595"/>
    <n v="102909595"/>
    <n v="102909595"/>
    <s v="GB59HAND40516222636256            "/>
    <s v="CURRENT ACCOUNT                                   "/>
  </r>
  <r>
    <n v="41452226654"/>
    <s v="C6 "/>
    <x v="22"/>
    <n v="41452226654"/>
    <d v="2026-07-04T10:31:13"/>
    <n v="115"/>
    <n v="3"/>
    <s v="           "/>
    <s v="GB"/>
    <s v="   "/>
    <n v="16281625"/>
    <n v="608407"/>
    <n v="100000"/>
    <s v="GBP"/>
    <n v="1290549.53"/>
    <s v="depo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533080"/>
    <n v="128533080"/>
    <n v="128533080"/>
    <s v="GB42HAND40516287347008            "/>
    <s v="CURRENT ACCOUNT MORTGAGE                          "/>
  </r>
  <r>
    <n v="41456137866"/>
    <s v="C7 "/>
    <x v="22"/>
    <n v="41456137866"/>
    <d v="2026-07-06T19:04:05"/>
    <n v="115"/>
    <n v="3"/>
    <s v="           "/>
    <s v="GB"/>
    <s v="   "/>
    <n v="50254528"/>
    <n v="41333"/>
    <n v="60000"/>
    <s v="GBP"/>
    <n v="774329.78"/>
    <s v="Savings ThisBa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4795784"/>
    <n v="114795784"/>
    <n v="114795784"/>
    <s v="GB64HAND40516240139622            "/>
    <s v="DEPOSIT ACCOUNT                                   "/>
  </r>
  <r>
    <n v="41455938889"/>
    <s v="C7 "/>
    <x v="22"/>
    <n v="41455938889"/>
    <d v="2026-07-06T17:07:48"/>
    <n v="115"/>
    <n v="3"/>
    <s v="           "/>
    <s v="GB"/>
    <s v="   "/>
    <n v="60372471"/>
    <n v="209056"/>
    <n v="55000"/>
    <s v="GBP"/>
    <n v="709802.3"/>
    <s v="Brookes 835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35227809"/>
    <n v="135227809"/>
    <n v="135227809"/>
    <s v="GB25HAND40516249805016            "/>
    <s v="CURRENT ACCOUNT                                   "/>
  </r>
  <r>
    <n v="41455562425"/>
    <s v="C7 "/>
    <x v="22"/>
    <n v="41455562425"/>
    <d v="2026-07-06T14:08:01"/>
    <n v="115"/>
    <n v="3"/>
    <s v="           "/>
    <s v="GB"/>
    <s v="   "/>
    <n v="50254528"/>
    <n v="41333"/>
    <n v="59000"/>
    <s v="GBP"/>
    <n v="761424.28"/>
    <s v="Savings ThisBa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4795784"/>
    <n v="114795784"/>
    <n v="114795784"/>
    <s v="GB64HAND40516240139622            "/>
    <s v="DEPOSIT ACCOUNT                                   "/>
  </r>
  <r>
    <n v="41455493035"/>
    <s v="C7 "/>
    <x v="22"/>
    <n v="41455493035"/>
    <d v="2026-07-06T13:38:08"/>
    <n v="115"/>
    <n v="3"/>
    <s v="           "/>
    <s v="GB"/>
    <s v="   "/>
    <n v="54008774"/>
    <n v="90643"/>
    <n v="50000"/>
    <s v="GBP"/>
    <n v="645274.81999999995"/>
    <s v="Savings (Cahoot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0919394"/>
    <n v="120919394"/>
    <n v="120919394"/>
    <s v="GB42HAND40516212423723            "/>
    <s v="CURRENT ACCOUNT                                   "/>
  </r>
  <r>
    <n v="41457559096"/>
    <s v="C7 "/>
    <x v="22"/>
    <n v="41457559096"/>
    <d v="2026-07-07T16:38:04"/>
    <n v="115"/>
    <n v="3"/>
    <s v="           "/>
    <s v="GB"/>
    <s v="   "/>
    <n v="50254528"/>
    <n v="41333"/>
    <n v="80000"/>
    <s v="GBP"/>
    <n v="1032439.7"/>
    <s v="Savings ThisBa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4795784"/>
    <n v="114795784"/>
    <n v="114795784"/>
    <s v="GB64HAND40516240139622            "/>
    <s v="DEPOSIT ACCOUNT                                   "/>
  </r>
  <r>
    <n v="41456899665"/>
    <s v="C7 "/>
    <x v="22"/>
    <n v="41456899665"/>
    <d v="2026-07-07T11:27:28"/>
    <n v="115"/>
    <n v="3"/>
    <s v="           "/>
    <s v="GB"/>
    <s v="   "/>
    <n v="85532110"/>
    <n v="608407"/>
    <n v="55000"/>
    <s v="GBP"/>
    <n v="709802.3"/>
    <s v="Patek Singap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3478273"/>
    <n v="123478273"/>
    <n v="123478273"/>
    <s v="GB86HAND40516229778656            "/>
    <s v="CURRENT ACCOUNT                                   "/>
  </r>
  <r>
    <n v="41456954979"/>
    <s v="C6 "/>
    <x v="22"/>
    <n v="41456954979"/>
    <d v="2026-07-07T11:54:22"/>
    <n v="115"/>
    <n v="3"/>
    <s v="           "/>
    <s v="GB"/>
    <s v="   "/>
    <n v="50254528"/>
    <n v="41333"/>
    <n v="80000"/>
    <s v="GBP"/>
    <n v="1032439.7"/>
    <s v="Savings ThisBa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4795784"/>
    <n v="114795784"/>
    <n v="114795784"/>
    <s v="GB64HAND40516240139622            "/>
    <s v="DEPOSIT ACCOUNT                                   "/>
  </r>
  <r>
    <n v="41458638970"/>
    <s v="C7 "/>
    <x v="22"/>
    <n v="41458638970"/>
    <d v="2026-07-08T12:00:14"/>
    <n v="115"/>
    <n v="3"/>
    <s v="           "/>
    <s v="GB"/>
    <s v="   "/>
    <n v="61949425"/>
    <n v="406437"/>
    <n v="49990"/>
    <s v="GBP"/>
    <n v="645145.71"/>
    <s v="RAP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8924208"/>
    <n v="118924208"/>
    <n v="118924208"/>
    <s v="GB59HAND40516276826373            "/>
    <s v="CURRENT ACCOUNT                                   "/>
  </r>
  <r>
    <n v="41458656962"/>
    <s v="C7 "/>
    <x v="22"/>
    <n v="41458656962"/>
    <d v="2026-07-08T12:08:50"/>
    <n v="115"/>
    <n v="3"/>
    <s v="           "/>
    <s v="GB"/>
    <s v="   "/>
    <n v="12775154"/>
    <n v="406437"/>
    <n v="89861"/>
    <s v="GBP"/>
    <n v="1159700.77"/>
    <s v="saving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7919482"/>
    <n v="107919482"/>
    <n v="107919482"/>
    <s v="GB07HAND40516240247930            "/>
    <s v="SOLE CURRENT ACCOUNT                              "/>
  </r>
  <r>
    <n v="41458164138"/>
    <s v="C7 "/>
    <x v="22"/>
    <n v="41458164138"/>
    <d v="2026-07-08T01:16:07"/>
    <n v="115"/>
    <n v="3"/>
    <s v="YORKGB21200"/>
    <s v="GB"/>
    <s v="   "/>
    <n v="13389011"/>
    <n v="50200"/>
    <n v="35000"/>
    <s v="GBP"/>
    <n v="451692.37"/>
    <s v="Directors 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5587352"/>
    <n v="125587352"/>
    <n v="125587352"/>
    <s v="GB98HAND40516267160882            "/>
    <s v="CURRENT ACCOUNT                                   "/>
  </r>
  <r>
    <n v="41458164248"/>
    <s v="C7 "/>
    <x v="22"/>
    <n v="41458164248"/>
    <d v="2026-07-08T01:16:08"/>
    <n v="115"/>
    <n v="3"/>
    <s v="YORKGB21200"/>
    <s v="GB"/>
    <s v="   "/>
    <n v="13389011"/>
    <n v="50200"/>
    <n v="50000"/>
    <s v="GBP"/>
    <n v="645274.81999999995"/>
    <s v="Directors 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5587352"/>
    <n v="125587352"/>
    <n v="125587352"/>
    <s v="GB98HAND40516267160882            "/>
    <s v="CURRENT ACCOUNT                                   "/>
  </r>
  <r>
    <n v="41461001762"/>
    <s v="C7 "/>
    <x v="22"/>
    <n v="41461001762"/>
    <d v="2026-07-09T17:47:01"/>
    <n v="115"/>
    <n v="3"/>
    <s v="HBUKGB4151R"/>
    <s v="GB"/>
    <s v="   "/>
    <n v="1487140"/>
    <n v="403823"/>
    <n v="50000"/>
    <s v="GBP"/>
    <n v="645274.81999999995"/>
    <s v="Sophie gif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2032156"/>
    <n v="112032156"/>
    <n v="112032156"/>
    <s v="GB73HAND40516282107771            "/>
    <s v="CURRENT ACCOUNT                                   "/>
  </r>
  <r>
    <n v="41462835117"/>
    <s v="C7 "/>
    <x v="22"/>
    <n v="41462835117"/>
    <d v="2026-07-10T18:46:35"/>
    <n v="115"/>
    <n v="3"/>
    <s v="MIDLGB2196K"/>
    <s v="GB"/>
    <s v="   "/>
    <n v="10235121"/>
    <n v="403232"/>
    <n v="100000"/>
    <s v="GBP"/>
    <n v="1290549.53"/>
    <s v="PA273125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8525652"/>
    <n v="148525652"/>
    <n v="148525652"/>
    <s v="GB31HAND40516213470842            "/>
    <s v="CURRENT ACCOUNT                                   "/>
  </r>
  <r>
    <n v="41462839274"/>
    <s v="C7 "/>
    <x v="22"/>
    <n v="41462839274"/>
    <d v="2026-07-10T18:49:28"/>
    <n v="115"/>
    <n v="3"/>
    <s v="MIDLGB2196K"/>
    <s v="GB"/>
    <s v="   "/>
    <n v="10235121"/>
    <n v="403232"/>
    <n v="100000"/>
    <s v="GBP"/>
    <n v="1290549.53"/>
    <s v="PA273125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8525652"/>
    <n v="148525652"/>
    <n v="148525652"/>
    <s v="GB31HAND40516213470842            "/>
    <s v="CURRENT ACCOUNT                                   "/>
  </r>
  <r>
    <n v="41462850655"/>
    <s v="C6 "/>
    <x v="22"/>
    <n v="41462850655"/>
    <d v="2026-07-10T18:56:19"/>
    <n v="115"/>
    <n v="3"/>
    <s v="MIDLGB2196K"/>
    <s v="GB"/>
    <s v="   "/>
    <n v="10235121"/>
    <n v="403232"/>
    <n v="80000"/>
    <s v="GBP"/>
    <n v="1032439.7"/>
    <s v="PA273125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8525652"/>
    <n v="148525652"/>
    <n v="148525652"/>
    <s v="GB31HAND40516213470842            "/>
    <s v="CURRENT ACCOUNT                                   "/>
  </r>
  <r>
    <n v="41462004245"/>
    <s v="C7 "/>
    <x v="22"/>
    <n v="41462004245"/>
    <d v="2026-07-10T12:05:52"/>
    <n v="115"/>
    <n v="3"/>
    <s v="           "/>
    <s v="GB"/>
    <s v="   "/>
    <n v="6666272"/>
    <n v="180002"/>
    <n v="80000"/>
    <s v="GBP"/>
    <n v="1032439.7"/>
    <s v="GMC/49SYDNE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0380607"/>
    <n v="110380607"/>
    <n v="110380607"/>
    <s v="GB67HAND40516274059886            "/>
    <s v="DEPOSIT ACCOUNT                                   "/>
  </r>
  <r>
    <n v="41464172459"/>
    <s v="C7 "/>
    <x v="22"/>
    <n v="41464172459"/>
    <d v="2026-07-11T17:24:02"/>
    <n v="115"/>
    <n v="3"/>
    <s v="           "/>
    <s v="GB"/>
    <s v="   "/>
    <n v="54044309"/>
    <n v="90643"/>
    <n v="49000"/>
    <s v="GBP"/>
    <n v="632369.31999999995"/>
    <s v="Saving Acc Caho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4795784"/>
    <n v="114795784"/>
    <n v="114795784"/>
    <s v="GB64HAND40516240139622            "/>
    <s v="DEPOSIT ACCOUNT                                   "/>
  </r>
  <r>
    <n v="41463745341"/>
    <s v="C6 "/>
    <x v="22"/>
    <n v="41463745341"/>
    <d v="2026-07-11T13:15:23"/>
    <n v="115"/>
    <n v="3"/>
    <s v="MIDLGB2196K"/>
    <s v="GB"/>
    <s v="   "/>
    <n v="10235121"/>
    <n v="403232"/>
    <n v="80000"/>
    <s v="GBP"/>
    <n v="1032439.7"/>
    <s v="PA273125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8525652"/>
    <n v="148525652"/>
    <n v="148525652"/>
    <s v="GB31HAND40516213470842            "/>
    <s v="CURRENT ACCOUNT                                   "/>
  </r>
  <r>
    <n v="41463606609"/>
    <s v="C6 "/>
    <x v="22"/>
    <n v="41463606609"/>
    <d v="2026-07-11T12:08:46"/>
    <n v="115"/>
    <n v="3"/>
    <s v="NWBKGB2118W"/>
    <s v="GB"/>
    <s v="   "/>
    <n v="57317232"/>
    <n v="555010"/>
    <n v="100000"/>
    <s v="GBP"/>
    <n v="1290549.53"/>
    <s v="GIFT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6573514"/>
    <n v="146573514"/>
    <n v="146573514"/>
    <s v="GB84HAND40516234456032            "/>
    <s v="DEPOSIT ACCOUNT                                   "/>
  </r>
  <r>
    <n v="41463610727"/>
    <s v="C6 "/>
    <x v="22"/>
    <n v="41463610727"/>
    <d v="2026-07-11T12:10:37"/>
    <n v="115"/>
    <n v="3"/>
    <s v="HBUKGB4153L"/>
    <s v="GB"/>
    <s v="   "/>
    <n v="51396080"/>
    <n v="404031"/>
    <n v="95000"/>
    <s v="GBP"/>
    <n v="1226022.05"/>
    <s v="GIFT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6573514"/>
    <n v="146573514"/>
    <n v="146573514"/>
    <s v="GB84HAND40516234456032            "/>
    <s v="DEPOSIT ACCOUNT                                   "/>
  </r>
  <r>
    <n v="41463594320"/>
    <s v="C7 "/>
    <x v="22"/>
    <n v="41463594320"/>
    <d v="2026-07-11T12:03:03"/>
    <n v="115"/>
    <n v="3"/>
    <s v="NWBKGB2118W"/>
    <s v="GB"/>
    <s v="   "/>
    <n v="57317232"/>
    <n v="555010"/>
    <n v="100000"/>
    <s v="GBP"/>
    <n v="1290549.53"/>
    <s v="GIFT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6573514"/>
    <n v="146573514"/>
    <n v="146573514"/>
    <s v="GB84HAND40516234456032            "/>
    <s v="DEPOSIT ACCOUNT                                   "/>
  </r>
  <r>
    <n v="41463601364"/>
    <s v="C6 "/>
    <x v="22"/>
    <n v="41463601364"/>
    <d v="2026-07-11T12:06:15"/>
    <n v="115"/>
    <n v="3"/>
    <s v="HBUKGB4153L"/>
    <s v="GB"/>
    <s v="   "/>
    <n v="51396080"/>
    <n v="404031"/>
    <n v="100000"/>
    <s v="GBP"/>
    <n v="1290549.53"/>
    <s v="GIFT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6573514"/>
    <n v="146573514"/>
    <n v="146573514"/>
    <s v="GB84HAND40516234456032            "/>
    <s v="DEPOSIT ACCOUNT                                   "/>
  </r>
  <r>
    <n v="41463253599"/>
    <s v="C7 "/>
    <x v="22"/>
    <n v="41463253599"/>
    <d v="2026-07-11T07:01:03"/>
    <n v="115"/>
    <n v="3"/>
    <s v="           "/>
    <s v="GB"/>
    <s v="   "/>
    <n v="70368032"/>
    <n v="165873"/>
    <n v="100000"/>
    <s v="GBP"/>
    <n v="1290549.53"/>
    <s v="Saving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1421915"/>
    <n v="101421915"/>
    <n v="101421915"/>
    <s v="GB16HAND40516253720001            "/>
    <s v="CURRENT ACCOUNT                                   "/>
  </r>
  <r>
    <n v="41466468310"/>
    <s v="C7 "/>
    <x v="22"/>
    <n v="41466468310"/>
    <d v="2026-07-13T13:28:22"/>
    <n v="115"/>
    <n v="3"/>
    <s v="MYMBGB2LXXX"/>
    <s v="GB"/>
    <s v="   "/>
    <n v="58219401"/>
    <n v="230580"/>
    <n v="41000"/>
    <s v="GBP"/>
    <n v="529125.35"/>
    <s v="Funds Transfer 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35057461"/>
    <n v="135057461"/>
    <n v="135057461"/>
    <s v="GB87HAND40516238666845            "/>
    <s v="DEPOSIT ACCOUNT                                   "/>
  </r>
  <r>
    <n v="41466461015"/>
    <s v="C7 "/>
    <x v="22"/>
    <n v="41466461015"/>
    <d v="2026-07-13T13:24:35"/>
    <n v="115"/>
    <n v="3"/>
    <s v="MYMBGB2LXXX"/>
    <s v="GB"/>
    <s v="   "/>
    <n v="58219401"/>
    <n v="230580"/>
    <n v="60000"/>
    <s v="GBP"/>
    <n v="774329.78"/>
    <s v="Funds Transfer 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35057461"/>
    <n v="135057461"/>
    <n v="135057461"/>
    <s v="GB87HAND40516238666845            "/>
    <s v="DEPOSIT ACCOUNT                                   "/>
  </r>
  <r>
    <n v="41469373194"/>
    <s v="C7 "/>
    <x v="22"/>
    <n v="41469373194"/>
    <d v="2026-07-15T12:00:58"/>
    <n v="115"/>
    <n v="3"/>
    <s v="HBUKGB4166F"/>
    <s v="GB"/>
    <s v="   "/>
    <n v="91378988"/>
    <n v="403416"/>
    <n v="76990"/>
    <s v="GBP"/>
    <n v="993594.11"/>
    <s v="Karen HSBC acc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8071459"/>
    <n v="148071459"/>
    <n v="148071459"/>
    <s v="GB95HAND40516227722094            "/>
    <s v="EXECUTORS OF JOAN VERRILL ACCOUNT                 "/>
  </r>
  <r>
    <n v="41473974572"/>
    <s v="C7 "/>
    <x v="22"/>
    <n v="41473974572"/>
    <d v="2026-07-17T18:29:16"/>
    <n v="115"/>
    <n v="3"/>
    <s v="           "/>
    <s v="GB"/>
    <s v="   "/>
    <n v="63246516"/>
    <n v="608407"/>
    <n v="90000"/>
    <s v="GBP"/>
    <n v="1161494.57"/>
    <s v="17/07 Cunningha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3075137"/>
    <n v="123075137"/>
    <n v="123075137"/>
    <s v="GB75HAND40516253213278            "/>
    <s v="CURRENT ACCOUNT                                   "/>
  </r>
  <r>
    <n v="41473704457"/>
    <s v="C7 "/>
    <x v="22"/>
    <n v="41473704457"/>
    <d v="2026-07-17T15:56:36"/>
    <n v="115"/>
    <n v="3"/>
    <s v="           "/>
    <s v="GB"/>
    <s v="   "/>
    <n v="26406586"/>
    <n v="608456"/>
    <n v="85000"/>
    <s v="GBP"/>
    <n v="1096967.19"/>
    <s v="KRBS issue2 ltd a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96716188"/>
    <n v="96716188"/>
    <n v="96716188"/>
    <s v="GB95HAND40516247387001            "/>
    <s v="CURRENT ACCOUNT                                   "/>
  </r>
  <r>
    <n v="41480028554"/>
    <s v="C7 "/>
    <x v="22"/>
    <n v="41480028554"/>
    <d v="2026-07-21T18:00:52"/>
    <n v="115"/>
    <n v="3"/>
    <s v="           "/>
    <s v="GB"/>
    <s v="   "/>
    <n v="58200138"/>
    <n v="608407"/>
    <n v="50000"/>
    <s v="GBP"/>
    <n v="649241.99"/>
    <s v="House gift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5353056"/>
    <n v="105353056"/>
    <n v="105353056"/>
    <s v="GB17HAND40516217711061            "/>
    <s v="CURRENT ACCOUNT                                   "/>
  </r>
  <r>
    <n v="41483437207"/>
    <s v="C7 "/>
    <x v="22"/>
    <n v="41483437207"/>
    <d v="2026-07-23T18:46:06"/>
    <n v="115"/>
    <n v="3"/>
    <s v="           "/>
    <s v="GB"/>
    <s v="   "/>
    <n v="54088624"/>
    <n v="90643"/>
    <n v="75000"/>
    <s v="GBP"/>
    <n v="973862.99"/>
    <s v="Transfer HB to 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8965344"/>
    <n v="108965344"/>
    <n v="108965344"/>
    <s v="GB15HAND40516215695922            "/>
    <s v="CURRENT ACCOUNT                                   "/>
  </r>
  <r>
    <n v="41483244960"/>
    <s v="C8 "/>
    <x v="22"/>
    <n v="41483244960"/>
    <d v="2026-07-23T17:27:24"/>
    <n v="115"/>
    <n v="3"/>
    <s v="           "/>
    <s v="GB"/>
    <s v="   "/>
    <n v="17554591"/>
    <n v="40339"/>
    <n v="50000"/>
    <s v="GBP"/>
    <n v="649241.99"/>
    <s v="From Cahoot sav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5870745"/>
    <n v="105870745"/>
    <n v="105870745"/>
    <s v="GB18HAND40516288234505            "/>
    <s v="CURRENT ACCOUNT                                   "/>
  </r>
  <r>
    <n v="41483254891"/>
    <s v="C7 "/>
    <x v="22"/>
    <n v="41483254891"/>
    <d v="2026-07-23T17:32:42"/>
    <n v="115"/>
    <n v="3"/>
    <s v="           "/>
    <s v="GB"/>
    <s v="   "/>
    <n v="73114139"/>
    <n v="406437"/>
    <n v="100000"/>
    <s v="GBP"/>
    <n v="1298483.98"/>
    <s v="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9228773"/>
    <n v="119228773"/>
    <n v="119228773"/>
    <s v="GB89HAND40516214461623            "/>
    <s v="DEPOSIT ACCOUNT                                   "/>
  </r>
  <r>
    <n v="41483063386"/>
    <s v="C6 "/>
    <x v="22"/>
    <n v="41483063386"/>
    <d v="2026-07-23T15:53:26"/>
    <n v="115"/>
    <n v="3"/>
    <s v="           "/>
    <s v="GB"/>
    <s v="   "/>
    <n v="83372888"/>
    <n v="608407"/>
    <n v="80000"/>
    <s v="GBP"/>
    <n v="1038787.21"/>
    <s v="TVR payment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2720485"/>
    <n v="122720485"/>
    <n v="122720485"/>
    <s v="GB47HAND40516224759996            "/>
    <s v="CURRENT ACCOUNT                                   "/>
  </r>
  <r>
    <n v="41482548652"/>
    <s v="C7 "/>
    <x v="22"/>
    <n v="41482548652"/>
    <d v="2026-07-23T11:49:38"/>
    <n v="115"/>
    <n v="3"/>
    <s v="BOFSGBS1CTL"/>
    <s v="GB"/>
    <s v="   "/>
    <n v="13139066"/>
    <n v="804887"/>
    <n v="90000"/>
    <s v="GBP"/>
    <n v="1168635.6399999999"/>
    <s v="HB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35198109"/>
    <n v="135198109"/>
    <n v="135198109"/>
    <s v="GB84HAND40516224516248            "/>
    <s v="DEPOSIT ACCOUNT                                   "/>
  </r>
  <r>
    <n v="41486220957"/>
    <s v="C6 "/>
    <x v="22"/>
    <n v="41486220957"/>
    <d v="2026-07-24T20:33:07"/>
    <n v="115"/>
    <n v="3"/>
    <s v="           "/>
    <s v="GB"/>
    <s v="   "/>
    <n v="26180505"/>
    <n v="608407"/>
    <n v="100000"/>
    <s v="GBP"/>
    <n v="1298483.98"/>
    <s v="Chase AC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86224304"/>
    <s v="C6 "/>
    <x v="22"/>
    <n v="41486224304"/>
    <d v="2026-07-24T20:35:21"/>
    <n v="115"/>
    <n v="3"/>
    <s v="           "/>
    <s v="GB"/>
    <s v="   "/>
    <n v="26180505"/>
    <n v="608407"/>
    <n v="100000"/>
    <s v="GBP"/>
    <n v="1298483.98"/>
    <s v="Chase AC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86216916"/>
    <s v="C6 "/>
    <x v="22"/>
    <n v="41486216916"/>
    <d v="2026-07-24T20:30:36"/>
    <n v="115"/>
    <n v="3"/>
    <s v="           "/>
    <s v="GB"/>
    <s v="   "/>
    <n v="26180505"/>
    <n v="608407"/>
    <n v="100000"/>
    <s v="GBP"/>
    <n v="1298483.98"/>
    <s v="CHA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86213067"/>
    <s v="C6 "/>
    <x v="22"/>
    <n v="41486213067"/>
    <d v="2026-07-24T20:28:04"/>
    <n v="115"/>
    <n v="3"/>
    <s v="           "/>
    <s v="GB"/>
    <s v="   "/>
    <n v="26180505"/>
    <n v="608407"/>
    <n v="100000"/>
    <s v="GBP"/>
    <n v="1298483.98"/>
    <s v="CHA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85691443"/>
    <s v="C7 "/>
    <x v="22"/>
    <n v="41485691443"/>
    <d v="2026-07-24T16:09:37"/>
    <n v="115"/>
    <n v="3"/>
    <s v="           "/>
    <s v="GB"/>
    <s v="   "/>
    <n v="81635056"/>
    <n v="406437"/>
    <n v="50000"/>
    <s v="GBP"/>
    <n v="649241.99"/>
    <s v="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1862155"/>
    <n v="121862155"/>
    <n v="121862155"/>
    <s v="GB90HAND40516238708986            "/>
    <s v="CURRENT ACCOUNT                                   "/>
  </r>
  <r>
    <n v="41488362553"/>
    <s v="C7 "/>
    <x v="22"/>
    <n v="41488362553"/>
    <d v="2026-07-26T10:03:23"/>
    <n v="115"/>
    <n v="3"/>
    <s v="           "/>
    <s v="GB"/>
    <s v="   "/>
    <n v="12647717"/>
    <n v="608407"/>
    <n v="75000"/>
    <s v="GBP"/>
    <n v="973862.99"/>
    <s v="House Gif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6134032"/>
    <n v="116134032"/>
    <n v="116134032"/>
    <s v="GB32HAND40516252228338            "/>
    <s v="DEPOSIT ACCOUNT                                   "/>
  </r>
  <r>
    <n v="41493575842"/>
    <s v="C7 "/>
    <x v="22"/>
    <n v="41493575842"/>
    <d v="2026-07-28T21:12:50"/>
    <n v="115"/>
    <n v="3"/>
    <s v="           "/>
    <s v="GB"/>
    <s v="   "/>
    <n v="13117510"/>
    <n v="608407"/>
    <n v="100000"/>
    <s v="GBP"/>
    <n v="1298483.98"/>
    <s v="To Chase saving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9625572"/>
    <n v="119625572"/>
    <n v="119625572"/>
    <s v="GB68HAND40516210545335            "/>
    <s v="CURRENT ACCOUNT                                   "/>
  </r>
  <r>
    <n v="41492875280"/>
    <s v="C7 "/>
    <x v="22"/>
    <n v="41492875280"/>
    <d v="2026-07-28T14:43:38"/>
    <n v="115"/>
    <n v="3"/>
    <s v="           "/>
    <s v="GB"/>
    <s v="   "/>
    <n v="93115724"/>
    <n v="609204"/>
    <n v="80000"/>
    <s v="GBP"/>
    <n v="1038787.21"/>
    <s v="93115724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0114752"/>
    <n v="140114752"/>
    <n v="140114752"/>
    <s v="GB89HAND40516263895733            "/>
    <s v="CURRENT ACCOUNT                                   "/>
  </r>
  <r>
    <n v="41494751270"/>
    <s v="C7 "/>
    <x v="22"/>
    <n v="41494751270"/>
    <d v="2026-07-29T14:01:23"/>
    <n v="115"/>
    <n v="3"/>
    <s v="           "/>
    <s v="GB"/>
    <s v="   "/>
    <n v="89260625"/>
    <n v="230120"/>
    <n v="75000"/>
    <s v="GBP"/>
    <n v="973862.99"/>
    <s v="Revolu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0818184"/>
    <n v="110818184"/>
    <n v="110818184"/>
    <s v="GB64HAND40516215918722            "/>
    <s v="DEPOSIT ACCOUNT                                   "/>
  </r>
  <r>
    <n v="41494217700"/>
    <s v="C7 "/>
    <x v="22"/>
    <n v="41494217700"/>
    <d v="2026-07-29T09:20:07"/>
    <n v="115"/>
    <n v="3"/>
    <s v="           "/>
    <s v="GB"/>
    <s v="   "/>
    <n v="89260625"/>
    <n v="230120"/>
    <n v="75000"/>
    <s v="GBP"/>
    <n v="973862.99"/>
    <s v="Revolu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0818184"/>
    <n v="110818184"/>
    <n v="110818184"/>
    <s v="GB64HAND40516215918722            "/>
    <s v="DEPOSIT ACCOUNT                                   "/>
  </r>
  <r>
    <n v="41499919515"/>
    <s v="C6 "/>
    <x v="22"/>
    <n v="41499919515"/>
    <d v="2026-08-01T16:48:29"/>
    <n v="115"/>
    <n v="3"/>
    <s v="           "/>
    <s v="GB"/>
    <s v="   "/>
    <n v="38307720"/>
    <n v="90130"/>
    <n v="40240.32"/>
    <s v="GBP"/>
    <n v="522514.15"/>
    <s v="Sant HB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9007375"/>
    <n v="119007375"/>
    <n v="119007375"/>
    <s v="GB69HAND40516213678514            "/>
    <s v="DEPOSIT ACCOUNT                                   "/>
  </r>
  <r>
    <n v="41499878714"/>
    <s v="C7 "/>
    <x v="22"/>
    <n v="41499878714"/>
    <d v="2026-08-01T16:21:09"/>
    <n v="115"/>
    <n v="3"/>
    <s v="           "/>
    <s v="GB"/>
    <s v="   "/>
    <n v="10475655"/>
    <n v="40831"/>
    <n v="50000"/>
    <s v="GBP"/>
    <n v="649241.99"/>
    <s v="Camilla Bourqu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5779995"/>
    <n v="105779995"/>
    <n v="105779995"/>
    <s v="GB17HAND40516212615263            "/>
    <s v="CURRENT ACCOUNT                                   "/>
  </r>
  <r>
    <n v="41502365582"/>
    <s v="C7 "/>
    <x v="22"/>
    <n v="41502365582"/>
    <d v="2026-08-03T13:06:28"/>
    <n v="115"/>
    <n v="3"/>
    <s v="           "/>
    <s v="GB"/>
    <s v="   "/>
    <n v="3649830"/>
    <n v="203775"/>
    <n v="100000"/>
    <s v="GBP"/>
    <n v="1298483.98"/>
    <s v="Hartla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4780263"/>
    <n v="124780263"/>
    <n v="124780263"/>
    <s v="GB78HAND40516235771945            "/>
    <s v="DEPOSIT ACCOUNT                                   "/>
  </r>
  <r>
    <n v="41504465001"/>
    <s v="C7 "/>
    <x v="22"/>
    <n v="41504465001"/>
    <d v="2026-08-04T17:21:38"/>
    <n v="115"/>
    <n v="3"/>
    <s v="CBRLGB2LXXX"/>
    <s v="GB"/>
    <s v="   "/>
    <n v="12571423"/>
    <n v="165187"/>
    <n v="100000"/>
    <s v="GBP"/>
    <n v="1298483.98"/>
    <s v="Martin HD9 6N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4115159"/>
    <n v="104115159"/>
    <n v="104115159"/>
    <s v="GB73HAND40516286347641            "/>
    <s v="CURRENT ACCOUNT                                   "/>
  </r>
  <r>
    <n v="41504240618"/>
    <s v="C7 "/>
    <x v="22"/>
    <n v="41504240618"/>
    <d v="2026-08-04T15:22:42"/>
    <n v="115"/>
    <n v="3"/>
    <s v="MYMBGB2LXXX"/>
    <s v="GB"/>
    <s v="   "/>
    <n v="43082167"/>
    <n v="230580"/>
    <n v="100000"/>
    <s v="GBP"/>
    <n v="1298483.98"/>
    <s v="3 Aug TF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30575269"/>
    <n v="130575269"/>
    <n v="130575269"/>
    <s v="GB16HAND40516235260319            "/>
    <s v="CURRENT ACCOUNT                                   "/>
  </r>
  <r>
    <n v="41506175931"/>
    <s v="C7 "/>
    <x v="22"/>
    <n v="41506175931"/>
    <d v="2026-08-05T19:14:31"/>
    <n v="115"/>
    <n v="3"/>
    <s v="HOABGB2LXXX"/>
    <s v="GB"/>
    <s v="   "/>
    <n v="80166232"/>
    <n v="159900"/>
    <n v="100000"/>
    <s v="GBP"/>
    <n v="1298483.98"/>
    <s v=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7953069"/>
    <n v="107953069"/>
    <n v="107953069"/>
    <s v="GB75HAND40516243001700            "/>
    <s v="DEPOSIT ACCOUNT                                   "/>
  </r>
  <r>
    <n v="41506176989"/>
    <s v="C7 "/>
    <x v="22"/>
    <n v="41506176989"/>
    <d v="2026-08-05T19:15:11"/>
    <n v="115"/>
    <n v="3"/>
    <s v="HOABGB2LXXX"/>
    <s v="GB"/>
    <s v="   "/>
    <n v="80166232"/>
    <n v="159900"/>
    <n v="100000"/>
    <s v="GBP"/>
    <n v="1298483.98"/>
    <s v=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7953069"/>
    <n v="107953069"/>
    <n v="107953069"/>
    <s v="GB75HAND40516243001700            "/>
    <s v="DEPOSIT ACCOUNT                                   "/>
  </r>
  <r>
    <n v="41507542452"/>
    <s v="C6 "/>
    <x v="22"/>
    <n v="41507542452"/>
    <d v="2026-08-06T17:22:33"/>
    <n v="115"/>
    <n v="3"/>
    <s v="           "/>
    <s v="GB"/>
    <s v="   "/>
    <n v="83770192"/>
    <n v="203964"/>
    <n v="99000"/>
    <s v="GBP"/>
    <n v="1285499.1399999999"/>
    <s v="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1831293"/>
    <n v="111831293"/>
    <n v="111831293"/>
    <s v="GB67HAND40516254747962            "/>
    <s v="CURRENT ACCOUNT                                   "/>
  </r>
  <r>
    <n v="41506604141"/>
    <s v="C7 "/>
    <x v="22"/>
    <n v="41506604141"/>
    <d v="2026-08-06T08:42:57"/>
    <n v="115"/>
    <n v="3"/>
    <s v="           "/>
    <s v="GB"/>
    <s v="   "/>
    <n v="18406146"/>
    <n v="406369"/>
    <n v="40000"/>
    <s v="GBP"/>
    <n v="519393.55"/>
    <s v="FLAT 17 THE GRAN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3231211"/>
    <n v="113231211"/>
    <n v="113231211"/>
    <s v="GB11HAND40516222592112            "/>
    <s v="CURRENT ACCOUNT                                   "/>
  </r>
  <r>
    <n v="41508714421"/>
    <s v="C7 "/>
    <x v="22"/>
    <n v="41508714421"/>
    <d v="2026-08-07T13:40:30"/>
    <n v="115"/>
    <n v="3"/>
    <s v="           "/>
    <s v="GB"/>
    <s v="   "/>
    <n v="83770192"/>
    <n v="203964"/>
    <n v="99000"/>
    <s v="GBP"/>
    <n v="1285499.1399999999"/>
    <s v="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1831293"/>
    <n v="111831293"/>
    <n v="111831293"/>
    <s v="GB67HAND40516254747962            "/>
    <s v="CURRENT ACCOUNT                                   "/>
  </r>
  <r>
    <n v="41508569084"/>
    <s v="C7 "/>
    <x v="22"/>
    <n v="41508569084"/>
    <d v="2026-08-07T12:36:17"/>
    <n v="115"/>
    <n v="3"/>
    <s v="           "/>
    <s v="GB"/>
    <s v="   "/>
    <n v="90673684"/>
    <n v="204451"/>
    <n v="49999"/>
    <s v="GBP"/>
    <n v="649229.06000000006"/>
    <s v="LF 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5002978"/>
    <n v="145002978"/>
    <n v="145002978"/>
    <s v="GB26HAND40516228562774            "/>
    <s v="CURRENT ACCOUNT                                   "/>
  </r>
  <r>
    <n v="41512058559"/>
    <s v="C7 "/>
    <x v="22"/>
    <n v="41512058559"/>
    <d v="2026-08-09T20:01:52"/>
    <n v="115"/>
    <n v="3"/>
    <s v="           "/>
    <s v="GB"/>
    <s v="   "/>
    <n v="48042380"/>
    <n v="70116"/>
    <n v="53295"/>
    <s v="GBP"/>
    <n v="692027.05"/>
    <s v="Lucy Nationwi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207073"/>
    <n v="128207073"/>
    <n v="128207073"/>
    <s v="GB95HAND40516238565627            "/>
    <s v="JOINT DEPOSIT ACCOUNT                             "/>
  </r>
  <r>
    <n v="41448009557"/>
    <s v="C7 "/>
    <x v="23"/>
    <n v="41448009557"/>
    <d v="2026-07-01T18:59:16"/>
    <n v="115"/>
    <n v="3"/>
    <s v="           "/>
    <s v="GB"/>
    <s v="   "/>
    <n v="43157337"/>
    <n v="608456"/>
    <n v="10000"/>
    <s v="GBP"/>
    <n v="128647.09"/>
    <s v="1 Yr bo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17999755"/>
    <n v="117999755"/>
    <n v="117999755"/>
    <s v="GB60HAND40516247852261            "/>
    <s v="CURRENT ACCOUNT                                   "/>
  </r>
  <r>
    <n v="41447927653"/>
    <s v="C7 "/>
    <x v="23"/>
    <n v="41447927653"/>
    <d v="2026-07-01T18:13:36"/>
    <n v="115"/>
    <n v="3"/>
    <s v="           "/>
    <s v="GB"/>
    <s v="   "/>
    <n v="56183501"/>
    <n v="600155"/>
    <n v="100000"/>
    <s v="GBP"/>
    <n v="1286470.56"/>
    <s v="MR MARK WATS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3570774"/>
    <n v="113570774"/>
    <n v="113570774"/>
    <s v="GB43HAND40516263930414            "/>
    <s v="DEPOSIT ACCOUNT NO 2                              "/>
  </r>
  <r>
    <n v="41447679199"/>
    <s v="C7 "/>
    <x v="23"/>
    <n v="41447679199"/>
    <d v="2026-07-01T16:13:02"/>
    <n v="115"/>
    <n v="3"/>
    <s v="           "/>
    <s v="GB"/>
    <s v="   "/>
    <n v="9204083"/>
    <n v="40075"/>
    <n v="50000"/>
    <s v="GBP"/>
    <n v="643235.32999999996"/>
    <s v="Tfr Hdlsb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2592674"/>
    <n v="142592674"/>
    <n v="142592674"/>
    <s v="GB31HAND40516237199079            "/>
    <s v="DEPOSIT ACCOUNT                                   "/>
  </r>
  <r>
    <n v="41447499790"/>
    <s v="C6 "/>
    <x v="23"/>
    <n v="41447499790"/>
    <d v="2026-07-01T14:51:00"/>
    <n v="115"/>
    <n v="3"/>
    <s v="BCYPGB2LXXX"/>
    <s v="GB"/>
    <s v="   "/>
    <n v="23901216"/>
    <n v="406377"/>
    <n v="61286.07"/>
    <s v="GBP"/>
    <n v="788427.31"/>
    <s v="Cyn2Y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9309359"/>
    <n v="119309359"/>
    <n v="119309359"/>
    <s v="GB74HAND40516260527581            "/>
    <s v="CURRENT ACCOUNT                                   "/>
  </r>
  <r>
    <n v="41447332030"/>
    <s v="C7 "/>
    <x v="23"/>
    <n v="41447332030"/>
    <d v="2026-07-01T13:33:53"/>
    <n v="115"/>
    <n v="3"/>
    <s v="           "/>
    <s v="GB"/>
    <s v="   "/>
    <n v="9204083"/>
    <n v="40075"/>
    <n v="50000"/>
    <s v="GBP"/>
    <n v="643235.32999999996"/>
    <s v="Tfr Hdlsb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2592674"/>
    <n v="142592674"/>
    <n v="142592674"/>
    <s v="GB31HAND40516237199079            "/>
    <s v="DEPOSIT ACCOUNT                                   "/>
  </r>
  <r>
    <n v="41447338345"/>
    <s v="C6 "/>
    <x v="23"/>
    <n v="41447338345"/>
    <d v="2026-07-01T13:37:00"/>
    <n v="115"/>
    <n v="3"/>
    <s v="           "/>
    <s v="GB"/>
    <s v="   "/>
    <n v="42272574"/>
    <n v="406437"/>
    <n v="30143.03"/>
    <s v="GBP"/>
    <n v="387781.2"/>
    <s v="MarcusJJ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9309359"/>
    <n v="119309359"/>
    <n v="119309359"/>
    <s v="GB74HAND40516260527581            "/>
    <s v="CURRENT ACCOUNT                                   "/>
  </r>
  <r>
    <n v="41447336274"/>
    <s v="C6 "/>
    <x v="23"/>
    <n v="41447336274"/>
    <d v="2026-07-01T13:35:58"/>
    <n v="115"/>
    <n v="3"/>
    <s v="           "/>
    <s v="GB"/>
    <s v="   "/>
    <n v="81595468"/>
    <n v="406437"/>
    <n v="30143.01"/>
    <s v="GBP"/>
    <n v="387781.01"/>
    <s v="MarcusCJ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9309359"/>
    <n v="119309359"/>
    <n v="119309359"/>
    <s v="GB74HAND40516260527581            "/>
    <s v="CURRENT ACCOUNT                                   "/>
  </r>
  <r>
    <n v="41447027134"/>
    <s v="C7 "/>
    <x v="23"/>
    <n v="41447027134"/>
    <d v="2026-07-01T11:20:49"/>
    <n v="115"/>
    <n v="3"/>
    <s v="           "/>
    <s v="GB"/>
    <s v="   "/>
    <n v="3248836"/>
    <n v="180002"/>
    <n v="10500"/>
    <s v="GBP"/>
    <n v="135079.39000000001"/>
    <s v="Clive Syk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89501191"/>
    <n v="89501191"/>
    <n v="89501191"/>
    <s v="GB22HAND40516213665974            "/>
    <s v="CURRENT ACCOUNT                                   "/>
  </r>
  <r>
    <n v="41447045903"/>
    <s v="C7 "/>
    <x v="23"/>
    <n v="41447045903"/>
    <d v="2026-07-01T11:29:41"/>
    <n v="86"/>
    <n v="3"/>
    <s v="HSBCSGSGPBD"/>
    <s v="SG"/>
    <s v="   "/>
    <n v="82132121340001"/>
    <s v="                              "/>
    <n v="1200000"/>
    <s v="GBP"/>
    <n v="15437647.35"/>
    <s v="ROBERT AND HANNA NUG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5262164"/>
    <n v="115262164"/>
    <n v="115262164"/>
    <s v="GB24HAND40516218776965            "/>
    <s v="CURRENT ACCOUNT                                   "/>
  </r>
  <r>
    <n v="41446882692"/>
    <s v="C7 "/>
    <x v="23"/>
    <n v="41446882692"/>
    <d v="2026-07-01T10:08:28"/>
    <n v="115"/>
    <n v="3"/>
    <s v="NWBKGB2151Y"/>
    <s v="GB"/>
    <s v="   "/>
    <n v="79912494"/>
    <n v="517017"/>
    <n v="10000"/>
    <s v="GBP"/>
    <n v="128647.09"/>
    <s v="D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5221800"/>
    <n v="145221800"/>
    <n v="145221800"/>
    <s v="GB12HAND40516261829273            "/>
    <s v="DEPOSIT ACCOUNT                                   "/>
  </r>
  <r>
    <n v="41446946687"/>
    <s v="C7 "/>
    <x v="23"/>
    <n v="41446946687"/>
    <d v="2026-07-01T10:43:15"/>
    <n v="69"/>
    <n v="3"/>
    <s v="           "/>
    <s v="GB"/>
    <s v="   "/>
    <n v="80432571"/>
    <n v="200771"/>
    <n v="320000"/>
    <s v="GBP"/>
    <n v="4116705.96"/>
    <s v="pay back of 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88738513"/>
    <n v="88738513"/>
    <n v="88738513"/>
    <s v="GB12HAND40516238616979            "/>
    <s v="DEPOSIT ACCOUNT                                   "/>
  </r>
  <r>
    <n v="41446939640"/>
    <s v="C7 "/>
    <x v="23"/>
    <n v="41446939640"/>
    <d v="2026-07-01T10:39:16"/>
    <n v="69"/>
    <n v="3"/>
    <s v="           "/>
    <s v="GB"/>
    <s v="   "/>
    <n v="80432571"/>
    <n v="200771"/>
    <n v="1500000"/>
    <s v="GBP"/>
    <n v="19297059.140000001"/>
    <s v="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88738513"/>
    <n v="88738513"/>
    <n v="88738513"/>
    <s v="GB12HAND40516238616979            "/>
    <s v="DEPOSIT ACCOUNT                                   "/>
  </r>
  <r>
    <n v="41446856066"/>
    <s v="C7 "/>
    <x v="23"/>
    <n v="41446856066"/>
    <d v="2026-07-01T09:53:07"/>
    <n v="115"/>
    <n v="3"/>
    <s v="           "/>
    <s v="GB"/>
    <s v="   "/>
    <n v="40505315"/>
    <n v="201053"/>
    <n v="20000"/>
    <s v="GBP"/>
    <n v="257294.07"/>
    <s v="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98158389"/>
    <n v="98158389"/>
    <n v="98158389"/>
    <s v="GB72HAND40516248817001            "/>
    <s v="CURRENT ACCOUNT                                   "/>
  </r>
  <r>
    <n v="41446618157"/>
    <s v="C7 "/>
    <x v="23"/>
    <n v="41446618157"/>
    <d v="2026-07-01T06:39:17"/>
    <n v="115"/>
    <n v="3"/>
    <s v="           "/>
    <s v="GB"/>
    <s v="   "/>
    <n v="10779032"/>
    <n v="201854"/>
    <n v="50000"/>
    <s v="GBP"/>
    <n v="643235.32999999996"/>
    <s v="Tfr Hbnk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2592674"/>
    <n v="142592674"/>
    <n v="142592674"/>
    <s v="GB31HAND40516237199079            "/>
    <s v="DEPOSIT ACCOUNT                                   "/>
  </r>
  <r>
    <n v="41449900442"/>
    <s v="C7 "/>
    <x v="23"/>
    <n v="41449900442"/>
    <d v="2026-07-02T19:46:20"/>
    <n v="115"/>
    <n v="3"/>
    <s v="           "/>
    <s v="GB"/>
    <s v="   "/>
    <n v="50604895"/>
    <n v="204673"/>
    <n v="25000"/>
    <s v="GBP"/>
    <n v="322637.40999999997"/>
    <s v="klander hande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8159213"/>
    <n v="148159213"/>
    <n v="148159213"/>
    <s v="GB28HAND40516224592140            "/>
    <s v="CURRENT ACCOUNT                                   "/>
  </r>
  <r>
    <n v="41449578507"/>
    <s v="C7 "/>
    <x v="23"/>
    <n v="41449578507"/>
    <d v="2026-07-02T16:50:44"/>
    <n v="115"/>
    <n v="3"/>
    <s v="           "/>
    <s v="GB"/>
    <s v="   "/>
    <n v="61658919"/>
    <n v="406437"/>
    <n v="90000"/>
    <s v="GBP"/>
    <n v="1161494.57"/>
    <s v="Vi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86816444"/>
    <n v="86816444"/>
    <n v="86816444"/>
    <s v="GB35HAND40516249169001            "/>
    <s v="CURRENT ACCOUNT                                   "/>
  </r>
  <r>
    <n v="41449008948"/>
    <s v="C7 "/>
    <x v="23"/>
    <n v="41449008948"/>
    <d v="2026-07-02T12:34:00"/>
    <n v="69"/>
    <n v="3"/>
    <s v="           "/>
    <s v="GB"/>
    <s v="   "/>
    <n v="9204083"/>
    <n v="40075"/>
    <n v="340000"/>
    <s v="GBP"/>
    <n v="4387868.55"/>
    <s v="Tfr Hdlsb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2592674"/>
    <n v="142592674"/>
    <n v="142592674"/>
    <s v="GB31HAND40516237199079            "/>
    <s v="DEPOSIT ACCOUNT                                   "/>
  </r>
  <r>
    <n v="41448904578"/>
    <s v="C7 "/>
    <x v="23"/>
    <n v="41448904578"/>
    <d v="2026-07-02T11:45:04"/>
    <n v="115"/>
    <n v="3"/>
    <s v="           "/>
    <s v="GB"/>
    <s v="   "/>
    <n v="43157337"/>
    <n v="608456"/>
    <n v="20000"/>
    <s v="GBP"/>
    <n v="258109.93"/>
    <s v="1 Yr bo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17999755"/>
    <n v="117999755"/>
    <n v="117999755"/>
    <s v="GB60HAND40516247852261            "/>
    <s v="CURRENT ACCOUNT                                   "/>
  </r>
  <r>
    <n v="41448593472"/>
    <s v="C6 "/>
    <x v="23"/>
    <n v="41448593472"/>
    <d v="2026-07-02T08:58:23"/>
    <n v="115"/>
    <n v="3"/>
    <s v="           "/>
    <s v="GB"/>
    <s v="   "/>
    <n v="9204083"/>
    <n v="40075"/>
    <n v="50000"/>
    <s v="GBP"/>
    <n v="645274.81999999995"/>
    <s v="Tfr Hdlsb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2592674"/>
    <n v="142592674"/>
    <n v="142592674"/>
    <s v="GB31HAND40516237199079            "/>
    <s v="DEPOSIT ACCOUNT                                   "/>
  </r>
  <r>
    <n v="41451779027"/>
    <s v="C7 "/>
    <x v="23"/>
    <n v="41451779027"/>
    <d v="2026-07-03T20:30:14"/>
    <n v="115"/>
    <n v="3"/>
    <s v="           "/>
    <s v="GB"/>
    <s v="   "/>
    <n v="20881107"/>
    <n v="236247"/>
    <n v="100000"/>
    <s v="GBP"/>
    <n v="1290549.53"/>
    <s v="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7621456"/>
    <n v="127621456"/>
    <n v="127621456"/>
    <s v="GB86HAND40516239994890            "/>
    <s v="CURRENT ACCOUNT                                   "/>
  </r>
  <r>
    <n v="41451344908"/>
    <s v="C7 "/>
    <x v="23"/>
    <n v="41451344908"/>
    <d v="2026-07-03T16:18:56"/>
    <n v="115"/>
    <n v="3"/>
    <s v="           "/>
    <s v="GB"/>
    <s v="   "/>
    <n v="16281625"/>
    <n v="608407"/>
    <n v="100000"/>
    <s v="GBP"/>
    <n v="1290549.53"/>
    <s v="depo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533080"/>
    <n v="128533080"/>
    <n v="128533080"/>
    <s v="GB42HAND40516287347008            "/>
    <s v="CURRENT ACCOUNT MORTGAGE                          "/>
  </r>
  <r>
    <n v="41451349515"/>
    <s v="C6 "/>
    <x v="23"/>
    <n v="41451349515"/>
    <d v="2026-07-03T16:20:59"/>
    <n v="115"/>
    <n v="3"/>
    <s v="           "/>
    <s v="GB"/>
    <s v="   "/>
    <n v="16281625"/>
    <n v="608407"/>
    <n v="50000"/>
    <s v="GBP"/>
    <n v="645274.81999999995"/>
    <s v="depo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533080"/>
    <n v="128533080"/>
    <n v="128533080"/>
    <s v="GB42HAND40516287347008            "/>
    <s v="CURRENT ACCOUNT MORTGAGE                          "/>
  </r>
  <r>
    <n v="41451347753"/>
    <s v="C6 "/>
    <x v="23"/>
    <n v="41451347753"/>
    <d v="2026-07-03T16:20:08"/>
    <n v="115"/>
    <n v="3"/>
    <s v="           "/>
    <s v="GB"/>
    <s v="   "/>
    <n v="16281625"/>
    <n v="608407"/>
    <n v="100000"/>
    <s v="GBP"/>
    <n v="1290549.53"/>
    <s v="depo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533080"/>
    <n v="128533080"/>
    <n v="128533080"/>
    <s v="GB42HAND40516287347008            "/>
    <s v="CURRENT ACCOUNT MORTGAGE                          "/>
  </r>
  <r>
    <n v="41451241623"/>
    <s v="C7 "/>
    <x v="23"/>
    <n v="41451241623"/>
    <d v="2026-07-03T15:32:24"/>
    <n v="115"/>
    <n v="3"/>
    <s v="           "/>
    <s v="GB"/>
    <s v="   "/>
    <n v="16281625"/>
    <n v="608407"/>
    <n v="100000"/>
    <s v="GBP"/>
    <n v="1290549.53"/>
    <s v="depo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533080"/>
    <n v="128533080"/>
    <n v="128533080"/>
    <s v="GB42HAND40516287347008            "/>
    <s v="CURRENT ACCOUNT MORTGAGE                          "/>
  </r>
  <r>
    <n v="41451187210"/>
    <s v="C7 "/>
    <x v="23"/>
    <n v="41451187210"/>
    <d v="2026-07-03T15:07:54"/>
    <n v="115"/>
    <n v="3"/>
    <s v="           "/>
    <s v="GB"/>
    <s v="   "/>
    <n v="37257"/>
    <n v="309904"/>
    <n v="20000"/>
    <s v="GBP"/>
    <n v="258109.93"/>
    <s v=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47561047"/>
    <n v="147561047"/>
    <n v="147561047"/>
    <s v="GB45HAND40516238321020            "/>
    <s v="CURRENT ACCOUNT                                   "/>
  </r>
  <r>
    <n v="41451007506"/>
    <s v="C7 "/>
    <x v="23"/>
    <n v="41451007506"/>
    <d v="2026-07-03T13:50:01"/>
    <n v="115"/>
    <n v="3"/>
    <s v="HBUKGB4144M"/>
    <s v="GB"/>
    <s v="   "/>
    <n v="81392166"/>
    <n v="403108"/>
    <n v="20000"/>
    <s v="GBP"/>
    <n v="258109.93"/>
    <s v="Pikes Peak pai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10038171"/>
    <n v="110038171"/>
    <n v="110038171"/>
    <s v="GB47HAND40516246151794            "/>
    <s v="CURRENT ACCOUNT                                   "/>
  </r>
  <r>
    <n v="41450847459"/>
    <s v="C7 "/>
    <x v="23"/>
    <n v="41450847459"/>
    <d v="2026-07-03T12:47:11"/>
    <n v="115"/>
    <n v="3"/>
    <s v="NRNBGB2LSAV"/>
    <s v="GB"/>
    <s v="   "/>
    <n v="37340974"/>
    <n v="86064"/>
    <n v="19750"/>
    <s v="GBP"/>
    <n v="254883.58"/>
    <s v="ISA 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3896052"/>
    <n v="123896052"/>
    <n v="123896052"/>
    <s v="GB47HAND40516262535676            "/>
    <s v="CURRENT ACCOUNT                                   "/>
  </r>
  <r>
    <n v="41450795129"/>
    <s v="C6 "/>
    <x v="23"/>
    <n v="41450795129"/>
    <d v="2026-07-03T12:23:56"/>
    <n v="115"/>
    <n v="3"/>
    <s v="SMIWGB2LXXX"/>
    <s v="GB"/>
    <s v="   "/>
    <n v="54606"/>
    <n v="165760"/>
    <n v="25000"/>
    <s v="GBP"/>
    <n v="322637.40999999997"/>
    <s v="Polly Evelyn Gif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2909595"/>
    <n v="102909595"/>
    <n v="102909595"/>
    <s v="GB59HAND40516222636256            "/>
    <s v="CURRENT ACCOUNT                                   "/>
  </r>
  <r>
    <n v="41450493081"/>
    <s v="C7 "/>
    <x v="23"/>
    <n v="41450493081"/>
    <d v="2026-07-03T09:56:46"/>
    <n v="115"/>
    <n v="3"/>
    <s v="SMIWGB2LXXX"/>
    <s v="GB"/>
    <s v="   "/>
    <n v="54606"/>
    <n v="165760"/>
    <n v="100000"/>
    <s v="GBP"/>
    <n v="1290549.53"/>
    <s v="Polly Evelyn Gif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2909595"/>
    <n v="102909595"/>
    <n v="102909595"/>
    <s v="GB59HAND40516222636256            "/>
    <s v="CURRENT ACCOUNT                                   "/>
  </r>
  <r>
    <n v="41450490464"/>
    <s v="C7 "/>
    <x v="23"/>
    <n v="41450490464"/>
    <d v="2026-07-03T09:55:04"/>
    <n v="115"/>
    <n v="3"/>
    <s v="SMIWGB2LXXX"/>
    <s v="GB"/>
    <s v="   "/>
    <n v="54606"/>
    <n v="165760"/>
    <n v="100000"/>
    <s v="GBP"/>
    <n v="1290549.53"/>
    <s v="Polly Evelyn Gif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2909595"/>
    <n v="102909595"/>
    <n v="102909595"/>
    <s v="GB59HAND40516222636256            "/>
    <s v="CURRENT ACCOUNT                                   "/>
  </r>
  <r>
    <n v="41450496287"/>
    <s v="C6 "/>
    <x v="23"/>
    <n v="41450496287"/>
    <d v="2026-07-03T09:58:23"/>
    <n v="115"/>
    <n v="3"/>
    <s v="SMIWGB2LXXX"/>
    <s v="GB"/>
    <s v="   "/>
    <n v="54606"/>
    <n v="165760"/>
    <n v="25000"/>
    <s v="GBP"/>
    <n v="322637.40999999997"/>
    <s v="Polly Evelyn Gif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2909595"/>
    <n v="102909595"/>
    <n v="102909595"/>
    <s v="GB59HAND40516222636256            "/>
    <s v="CURRENT ACCOUNT                                   "/>
  </r>
  <r>
    <n v="41452695603"/>
    <s v="C7 "/>
    <x v="23"/>
    <n v="41452695603"/>
    <d v="2026-07-04T14:17:28"/>
    <n v="115"/>
    <n v="3"/>
    <s v="NWBKGB2107R"/>
    <s v="GB"/>
    <s v="   "/>
    <n v="4124448"/>
    <n v="542147"/>
    <n v="20000"/>
    <s v="GBP"/>
    <n v="258109.93"/>
    <s v="Car paym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26270867"/>
    <n v="126270867"/>
    <n v="126270867"/>
    <s v="GB34HAND40516245046616            "/>
    <s v="CURRENT ACCOUNT                                   "/>
  </r>
  <r>
    <n v="41452660820"/>
    <s v="C7 "/>
    <x v="23"/>
    <n v="41452660820"/>
    <d v="2026-07-04T14:01:01"/>
    <n v="115"/>
    <n v="3"/>
    <s v="LEEDGB2AXXX"/>
    <s v="GB"/>
    <s v="   "/>
    <n v="84920843"/>
    <n v="86119"/>
    <n v="10000"/>
    <s v="GBP"/>
    <n v="129054.96"/>
    <s v="Leeds sav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31654568"/>
    <n v="131654568"/>
    <n v="131654568"/>
    <s v="GB09HAND40516249306045            "/>
    <s v="CURRENT ACCOUNT                                   "/>
  </r>
  <r>
    <n v="41452600239"/>
    <s v="C7 "/>
    <x v="23"/>
    <n v="41452600239"/>
    <d v="2026-07-04T13:32:56"/>
    <n v="115"/>
    <n v="3"/>
    <s v="YORKGB21641"/>
    <s v="GB"/>
    <s v="   "/>
    <n v="29562633"/>
    <n v="50641"/>
    <n v="14300"/>
    <s v="GBP"/>
    <n v="184548.55"/>
    <s v="C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5548483"/>
    <n v="145548483"/>
    <n v="145548483"/>
    <s v="GB10HAND40516275374777            "/>
    <s v="CURRENT ACCOUNT                                   "/>
  </r>
  <r>
    <n v="41452201618"/>
    <s v="C7 "/>
    <x v="23"/>
    <n v="41452201618"/>
    <d v="2026-07-04T10:15:34"/>
    <n v="115"/>
    <n v="3"/>
    <s v="LOYDGB21525"/>
    <s v="GB"/>
    <s v="   "/>
    <n v="42632468"/>
    <n v="309269"/>
    <n v="20000"/>
    <s v="GBP"/>
    <n v="258109.93"/>
    <s v="SD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18877885"/>
    <n v="118877885"/>
    <n v="118877885"/>
    <s v="GB04HAND40516234165114            "/>
    <s v="CURRENT ACCOUNT                                   "/>
  </r>
  <r>
    <n v="41452226654"/>
    <s v="C6 "/>
    <x v="23"/>
    <n v="41452226654"/>
    <d v="2026-07-04T10:31:13"/>
    <n v="115"/>
    <n v="3"/>
    <s v="           "/>
    <s v="GB"/>
    <s v="   "/>
    <n v="16281625"/>
    <n v="608407"/>
    <n v="100000"/>
    <s v="GBP"/>
    <n v="1290549.53"/>
    <s v="depo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533080"/>
    <n v="128533080"/>
    <n v="128533080"/>
    <s v="GB42HAND40516287347008            "/>
    <s v="CURRENT ACCOUNT MORTGAGE                          "/>
  </r>
  <r>
    <n v="41456137866"/>
    <s v="C7 "/>
    <x v="23"/>
    <n v="41456137866"/>
    <d v="2026-07-06T19:04:05"/>
    <n v="115"/>
    <n v="3"/>
    <s v="           "/>
    <s v="GB"/>
    <s v="   "/>
    <n v="50254528"/>
    <n v="41333"/>
    <n v="60000"/>
    <s v="GBP"/>
    <n v="774329.78"/>
    <s v="Savings ThisBa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4795784"/>
    <n v="114795784"/>
    <n v="114795784"/>
    <s v="GB64HAND40516240139622            "/>
    <s v="DEPOSIT ACCOUNT                                   "/>
  </r>
  <r>
    <n v="41455938889"/>
    <s v="C7 "/>
    <x v="23"/>
    <n v="41455938889"/>
    <d v="2026-07-06T17:07:48"/>
    <n v="115"/>
    <n v="3"/>
    <s v="           "/>
    <s v="GB"/>
    <s v="   "/>
    <n v="60372471"/>
    <n v="209056"/>
    <n v="55000"/>
    <s v="GBP"/>
    <n v="709802.3"/>
    <s v="Brookes 835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35227809"/>
    <n v="135227809"/>
    <n v="135227809"/>
    <s v="GB25HAND40516249805016            "/>
    <s v="CURRENT ACCOUNT                                   "/>
  </r>
  <r>
    <n v="41455562425"/>
    <s v="C7 "/>
    <x v="23"/>
    <n v="41455562425"/>
    <d v="2026-07-06T14:08:01"/>
    <n v="115"/>
    <n v="3"/>
    <s v="           "/>
    <s v="GB"/>
    <s v="   "/>
    <n v="50254528"/>
    <n v="41333"/>
    <n v="59000"/>
    <s v="GBP"/>
    <n v="761424.28"/>
    <s v="Savings ThisBa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4795784"/>
    <n v="114795784"/>
    <n v="114795784"/>
    <s v="GB64HAND40516240139622            "/>
    <s v="DEPOSIT ACCOUNT                                   "/>
  </r>
  <r>
    <n v="41455493035"/>
    <s v="C7 "/>
    <x v="23"/>
    <n v="41455493035"/>
    <d v="2026-07-06T13:38:08"/>
    <n v="115"/>
    <n v="3"/>
    <s v="           "/>
    <s v="GB"/>
    <s v="   "/>
    <n v="54008774"/>
    <n v="90643"/>
    <n v="50000"/>
    <s v="GBP"/>
    <n v="645274.81999999995"/>
    <s v="Savings (Cahoot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0919394"/>
    <n v="120919394"/>
    <n v="120919394"/>
    <s v="GB42HAND40516212423723            "/>
    <s v="CURRENT ACCOUNT                                   "/>
  </r>
  <r>
    <n v="41457559096"/>
    <s v="C7 "/>
    <x v="23"/>
    <n v="41457559096"/>
    <d v="2026-07-07T16:38:04"/>
    <n v="115"/>
    <n v="3"/>
    <s v="           "/>
    <s v="GB"/>
    <s v="   "/>
    <n v="50254528"/>
    <n v="41333"/>
    <n v="80000"/>
    <s v="GBP"/>
    <n v="1032439.7"/>
    <s v="Savings ThisBa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4795784"/>
    <n v="114795784"/>
    <n v="114795784"/>
    <s v="GB64HAND40516240139622            "/>
    <s v="DEPOSIT ACCOUNT                                   "/>
  </r>
  <r>
    <n v="41457595014"/>
    <s v="C7 "/>
    <x v="23"/>
    <n v="41457595014"/>
    <d v="2026-07-07T16:56:11"/>
    <n v="115"/>
    <n v="3"/>
    <s v="LOYDGB21F87"/>
    <s v="GB"/>
    <s v="   "/>
    <n v="14063562"/>
    <n v="770439"/>
    <n v="10000"/>
    <s v="GBP"/>
    <n v="129054.96"/>
    <s v="Building repai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25963512"/>
    <n v="125963512"/>
    <n v="125963512"/>
    <s v="GB07HAND40516272028040            "/>
    <s v="CURRENT ACCOUNT                                   "/>
  </r>
  <r>
    <n v="41456899665"/>
    <s v="C7 "/>
    <x v="23"/>
    <n v="41456899665"/>
    <d v="2026-07-07T11:27:28"/>
    <n v="115"/>
    <n v="3"/>
    <s v="           "/>
    <s v="GB"/>
    <s v="   "/>
    <n v="85532110"/>
    <n v="608407"/>
    <n v="55000"/>
    <s v="GBP"/>
    <n v="709802.3"/>
    <s v="Patek Singap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3478273"/>
    <n v="123478273"/>
    <n v="123478273"/>
    <s v="GB86HAND40516229778656            "/>
    <s v="CURRENT ACCOUNT                                   "/>
  </r>
  <r>
    <n v="41456954979"/>
    <s v="C6 "/>
    <x v="23"/>
    <n v="41456954979"/>
    <d v="2026-07-07T11:54:22"/>
    <n v="115"/>
    <n v="3"/>
    <s v="           "/>
    <s v="GB"/>
    <s v="   "/>
    <n v="50254528"/>
    <n v="41333"/>
    <n v="80000"/>
    <s v="GBP"/>
    <n v="1032439.7"/>
    <s v="Savings ThisBa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4795784"/>
    <n v="114795784"/>
    <n v="114795784"/>
    <s v="GB64HAND40516240139622            "/>
    <s v="DEPOSIT ACCOUNT                                   "/>
  </r>
  <r>
    <n v="41459674249"/>
    <s v="C7 "/>
    <x v="23"/>
    <n v="41459674249"/>
    <d v="2026-07-08T21:44:36"/>
    <n v="115"/>
    <n v="3"/>
    <s v="LOYDGB21F45"/>
    <s v="GB"/>
    <s v="   "/>
    <n v="1362320"/>
    <n v="304067"/>
    <n v="20000"/>
    <s v="GBP"/>
    <n v="258109.93"/>
    <s v="EM1584363-0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5716052"/>
    <n v="115716052"/>
    <n v="115716052"/>
    <s v="GB39HAND40516275776999            "/>
    <s v="MR &amp; MRS A R WOOD HOUSE ACCOUNT                   "/>
  </r>
  <r>
    <n v="41459665892"/>
    <s v="C7 "/>
    <x v="23"/>
    <n v="41459665892"/>
    <d v="2026-07-08T21:36:52"/>
    <n v="115"/>
    <n v="3"/>
    <s v="LOYDGB21F45"/>
    <s v="GB"/>
    <s v="   "/>
    <n v="1362320"/>
    <n v="304067"/>
    <n v="20000"/>
    <s v="GBP"/>
    <n v="258109.93"/>
    <s v="EM1579949-0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5716052"/>
    <n v="115716052"/>
    <n v="115716052"/>
    <s v="GB39HAND40516275776999            "/>
    <s v="MR &amp; MRS A R WOOD HOUSE ACCOUNT                   "/>
  </r>
  <r>
    <n v="41458876248"/>
    <s v="C7 "/>
    <x v="23"/>
    <n v="41458876248"/>
    <d v="2026-07-08T13:54:06"/>
    <n v="98"/>
    <n v="3"/>
    <s v="BOFIIE2D   "/>
    <s v="IE"/>
    <s v="   "/>
    <s v="IE73BOFI90535286857629            "/>
    <s v="                              "/>
    <n v="45000"/>
    <s v="EUR"/>
    <n v="498940.53"/>
    <s v="house depo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34675180"/>
    <n v="134675180"/>
    <n v="134675180"/>
    <s v="GB47HAND40516248304321            "/>
    <s v="CURRENT ACCOUNT                                   "/>
  </r>
  <r>
    <n v="41458638970"/>
    <s v="C7 "/>
    <x v="23"/>
    <n v="41458638970"/>
    <d v="2026-07-08T12:00:14"/>
    <n v="115"/>
    <n v="3"/>
    <s v="           "/>
    <s v="GB"/>
    <s v="   "/>
    <n v="61949425"/>
    <n v="406437"/>
    <n v="49990"/>
    <s v="GBP"/>
    <n v="645145.71"/>
    <s v="RAP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8924208"/>
    <n v="118924208"/>
    <n v="118924208"/>
    <s v="GB59HAND40516276826373            "/>
    <s v="CURRENT ACCOUNT                                   "/>
  </r>
  <r>
    <n v="41458656962"/>
    <s v="C7 "/>
    <x v="23"/>
    <n v="41458656962"/>
    <d v="2026-07-08T12:08:50"/>
    <n v="115"/>
    <n v="3"/>
    <s v="           "/>
    <s v="GB"/>
    <s v="   "/>
    <n v="12775154"/>
    <n v="406437"/>
    <n v="89861"/>
    <s v="GBP"/>
    <n v="1159700.77"/>
    <s v="saving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7919482"/>
    <n v="107919482"/>
    <n v="107919482"/>
    <s v="GB07HAND40516240247930            "/>
    <s v="SOLE CURRENT ACCOUNT                              "/>
  </r>
  <r>
    <n v="41458240997"/>
    <s v="C7 "/>
    <x v="23"/>
    <n v="41458240997"/>
    <d v="2026-07-08T07:46:12"/>
    <n v="115"/>
    <n v="3"/>
    <s v="LOYDGB21285"/>
    <s v="GB"/>
    <s v="   "/>
    <n v="27404660"/>
    <n v="309915"/>
    <n v="20000"/>
    <s v="GBP"/>
    <n v="258109.93"/>
    <s v="2026 PPE payment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39310916"/>
    <n v="139310916"/>
    <n v="139310916"/>
    <s v="GB22HAND40516231879373            "/>
    <s v="CASH POOL DEPOSIT                                 "/>
  </r>
  <r>
    <n v="41458164138"/>
    <s v="C7 "/>
    <x v="23"/>
    <n v="41458164138"/>
    <d v="2026-07-08T01:16:07"/>
    <n v="115"/>
    <n v="3"/>
    <s v="YORKGB21200"/>
    <s v="GB"/>
    <s v="   "/>
    <n v="13389011"/>
    <n v="50200"/>
    <n v="35000"/>
    <s v="GBP"/>
    <n v="451692.37"/>
    <s v="Directors 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5587352"/>
    <n v="125587352"/>
    <n v="125587352"/>
    <s v="GB98HAND40516267160882            "/>
    <s v="CURRENT ACCOUNT                                   "/>
  </r>
  <r>
    <n v="41458164248"/>
    <s v="C7 "/>
    <x v="23"/>
    <n v="41458164248"/>
    <d v="2026-07-08T01:16:08"/>
    <n v="115"/>
    <n v="3"/>
    <s v="YORKGB21200"/>
    <s v="GB"/>
    <s v="   "/>
    <n v="13389011"/>
    <n v="50200"/>
    <n v="50000"/>
    <s v="GBP"/>
    <n v="645274.81999999995"/>
    <s v="Directors 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5587352"/>
    <n v="125587352"/>
    <n v="125587352"/>
    <s v="GB98HAND40516267160882            "/>
    <s v="CURRENT ACCOUNT                                   "/>
  </r>
  <r>
    <n v="41461001762"/>
    <s v="C7 "/>
    <x v="23"/>
    <n v="41461001762"/>
    <d v="2026-07-09T17:47:01"/>
    <n v="115"/>
    <n v="3"/>
    <s v="HBUKGB4151R"/>
    <s v="GB"/>
    <s v="   "/>
    <n v="1487140"/>
    <n v="403823"/>
    <n v="50000"/>
    <s v="GBP"/>
    <n v="645274.81999999995"/>
    <s v="Sophie gif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2032156"/>
    <n v="112032156"/>
    <n v="112032156"/>
    <s v="GB73HAND40516282107771            "/>
    <s v="CURRENT ACCOUNT                                   "/>
  </r>
  <r>
    <n v="41462835117"/>
    <s v="C7 "/>
    <x v="23"/>
    <n v="41462835117"/>
    <d v="2026-07-10T18:46:35"/>
    <n v="115"/>
    <n v="3"/>
    <s v="MIDLGB2196K"/>
    <s v="GB"/>
    <s v="   "/>
    <n v="10235121"/>
    <n v="403232"/>
    <n v="100000"/>
    <s v="GBP"/>
    <n v="1290549.53"/>
    <s v="PA273125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8525652"/>
    <n v="148525652"/>
    <n v="148525652"/>
    <s v="GB31HAND40516213470842            "/>
    <s v="CURRENT ACCOUNT                                   "/>
  </r>
  <r>
    <n v="41462775437"/>
    <s v="C7 "/>
    <x v="23"/>
    <n v="41462775437"/>
    <d v="2026-07-10T18:08:51"/>
    <n v="69"/>
    <n v="3"/>
    <s v="MIDLGB2196K"/>
    <s v="GB"/>
    <s v="   "/>
    <n v="8948453"/>
    <n v="403232"/>
    <n v="600000"/>
    <s v="GBP"/>
    <n v="7743297.4900000002"/>
    <s v="FL7703455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2032156"/>
    <n v="112032156"/>
    <n v="112032156"/>
    <s v="GB73HAND40516282107771            "/>
    <s v="CURRENT ACCOUNT                                   "/>
  </r>
  <r>
    <n v="41462839274"/>
    <s v="C7 "/>
    <x v="23"/>
    <n v="41462839274"/>
    <d v="2026-07-10T18:49:28"/>
    <n v="115"/>
    <n v="3"/>
    <s v="MIDLGB2196K"/>
    <s v="GB"/>
    <s v="   "/>
    <n v="10235121"/>
    <n v="403232"/>
    <n v="100000"/>
    <s v="GBP"/>
    <n v="1290549.53"/>
    <s v="PA273125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8525652"/>
    <n v="148525652"/>
    <n v="148525652"/>
    <s v="GB31HAND40516213470842            "/>
    <s v="CURRENT ACCOUNT                                   "/>
  </r>
  <r>
    <n v="41462850655"/>
    <s v="C6 "/>
    <x v="23"/>
    <n v="41462850655"/>
    <d v="2026-07-10T18:56:19"/>
    <n v="115"/>
    <n v="3"/>
    <s v="MIDLGB2196K"/>
    <s v="GB"/>
    <s v="   "/>
    <n v="10235121"/>
    <n v="403232"/>
    <n v="80000"/>
    <s v="GBP"/>
    <n v="1032439.7"/>
    <s v="PA273125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8525652"/>
    <n v="148525652"/>
    <n v="148525652"/>
    <s v="GB31HAND40516213470842            "/>
    <s v="CURRENT ACCOUNT                                   "/>
  </r>
  <r>
    <n v="41462512107"/>
    <s v="C7 "/>
    <x v="23"/>
    <n v="41462512107"/>
    <d v="2026-07-10T15:49:42"/>
    <n v="115"/>
    <n v="3"/>
    <s v="           "/>
    <s v="GB"/>
    <s v="   "/>
    <n v="8545946"/>
    <n v="40005"/>
    <n v="10000"/>
    <s v="GBP"/>
    <n v="129054.96"/>
    <s v="Dad 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89938773"/>
    <n v="89938773"/>
    <n v="89938773"/>
    <s v="GB26HAND40516252550001            "/>
    <s v="CURRENT ACCOUNT                                   "/>
  </r>
  <r>
    <n v="41462004245"/>
    <s v="C7 "/>
    <x v="23"/>
    <n v="41462004245"/>
    <d v="2026-07-10T12:05:52"/>
    <n v="115"/>
    <n v="3"/>
    <s v="           "/>
    <s v="GB"/>
    <s v="   "/>
    <n v="6666272"/>
    <n v="180002"/>
    <n v="80000"/>
    <s v="GBP"/>
    <n v="1032439.7"/>
    <s v="GMC/49SYDNE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0380607"/>
    <n v="110380607"/>
    <n v="110380607"/>
    <s v="GB67HAND40516274059886            "/>
    <s v="DEPOSIT ACCOUNT                                   "/>
  </r>
  <r>
    <n v="41461930756"/>
    <s v="C7 "/>
    <x v="23"/>
    <n v="41461930756"/>
    <d v="2026-07-10T11:32:29"/>
    <n v="115"/>
    <n v="3"/>
    <s v="NRNBGB2LSAV"/>
    <s v="GB"/>
    <s v="   "/>
    <n v="37328301"/>
    <n v="86064"/>
    <n v="15000"/>
    <s v="GBP"/>
    <n v="193582.44"/>
    <s v="Virgin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3516163"/>
    <n v="148822042"/>
    <n v="123516163"/>
    <s v="GB68HAND40516273988961            "/>
    <s v="CURRENT ACCOUNT                                   "/>
  </r>
  <r>
    <n v="41461945768"/>
    <s v="C7 "/>
    <x v="23"/>
    <n v="41461945768"/>
    <d v="2026-07-10T11:39:02"/>
    <n v="115"/>
    <n v="3"/>
    <s v="NWBKGB2132V"/>
    <s v="GB"/>
    <s v="   "/>
    <n v="32639139"/>
    <n v="600111"/>
    <n v="28200"/>
    <s v="GBP"/>
    <n v="363935"/>
    <s v="c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9901054"/>
    <n v="129901054"/>
    <n v="129901054"/>
    <s v="GB81HAND40516228217919            "/>
    <s v="DEPOSIT ACCOUNT                                   "/>
  </r>
  <r>
    <n v="41461960579"/>
    <s v="C7 "/>
    <x v="23"/>
    <n v="41461960579"/>
    <d v="2026-07-10T11:45:56"/>
    <n v="69"/>
    <n v="3"/>
    <s v="HBUKGB41CM1"/>
    <s v="GB"/>
    <s v="   "/>
    <n v="77461029"/>
    <n v="401276"/>
    <n v="48500"/>
    <s v="GBP"/>
    <n v="625916.52"/>
    <s v="LOAN REPAYM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8146281"/>
    <n v="118146281"/>
    <n v="118146281"/>
    <s v="GB10HAND40516234709176            "/>
    <s v="CURRENT ACCOUNT                                   "/>
  </r>
  <r>
    <n v="41464172459"/>
    <s v="C7 "/>
    <x v="23"/>
    <n v="41464172459"/>
    <d v="2026-07-11T17:24:02"/>
    <n v="115"/>
    <n v="3"/>
    <s v="           "/>
    <s v="GB"/>
    <s v="   "/>
    <n v="54044309"/>
    <n v="90643"/>
    <n v="49000"/>
    <s v="GBP"/>
    <n v="632369.31999999995"/>
    <s v="Saving Acc Caho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4795784"/>
    <n v="114795784"/>
    <n v="114795784"/>
    <s v="GB64HAND40516240139622            "/>
    <s v="DEPOSIT ACCOUNT                                   "/>
  </r>
  <r>
    <n v="41463745341"/>
    <s v="C6 "/>
    <x v="23"/>
    <n v="41463745341"/>
    <d v="2026-07-11T13:15:23"/>
    <n v="115"/>
    <n v="3"/>
    <s v="MIDLGB2196K"/>
    <s v="GB"/>
    <s v="   "/>
    <n v="10235121"/>
    <n v="403232"/>
    <n v="80000"/>
    <s v="GBP"/>
    <n v="1032439.7"/>
    <s v="PA273125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8525652"/>
    <n v="148525652"/>
    <n v="148525652"/>
    <s v="GB31HAND40516213470842            "/>
    <s v="CURRENT ACCOUNT                                   "/>
  </r>
  <r>
    <n v="41463606609"/>
    <s v="C6 "/>
    <x v="23"/>
    <n v="41463606609"/>
    <d v="2026-07-11T12:08:46"/>
    <n v="115"/>
    <n v="3"/>
    <s v="NWBKGB2118W"/>
    <s v="GB"/>
    <s v="   "/>
    <n v="57317232"/>
    <n v="555010"/>
    <n v="100000"/>
    <s v="GBP"/>
    <n v="1290549.53"/>
    <s v="GIFT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6573514"/>
    <n v="146573514"/>
    <n v="146573514"/>
    <s v="GB84HAND40516234456032            "/>
    <s v="DEPOSIT ACCOUNT                                   "/>
  </r>
  <r>
    <n v="41463610727"/>
    <s v="C6 "/>
    <x v="23"/>
    <n v="41463610727"/>
    <d v="2026-07-11T12:10:37"/>
    <n v="115"/>
    <n v="3"/>
    <s v="HBUKGB4153L"/>
    <s v="GB"/>
    <s v="   "/>
    <n v="51396080"/>
    <n v="404031"/>
    <n v="95000"/>
    <s v="GBP"/>
    <n v="1226022.05"/>
    <s v="GIFT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6573514"/>
    <n v="146573514"/>
    <n v="146573514"/>
    <s v="GB84HAND40516234456032            "/>
    <s v="DEPOSIT ACCOUNT                                   "/>
  </r>
  <r>
    <n v="41463601364"/>
    <s v="C6 "/>
    <x v="23"/>
    <n v="41463601364"/>
    <d v="2026-07-11T12:06:15"/>
    <n v="115"/>
    <n v="3"/>
    <s v="HBUKGB4153L"/>
    <s v="GB"/>
    <s v="   "/>
    <n v="51396080"/>
    <n v="404031"/>
    <n v="100000"/>
    <s v="GBP"/>
    <n v="1290549.53"/>
    <s v="GIFT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6573514"/>
    <n v="146573514"/>
    <n v="146573514"/>
    <s v="GB84HAND40516234456032            "/>
    <s v="DEPOSIT ACCOUNT                                   "/>
  </r>
  <r>
    <n v="41463594320"/>
    <s v="C7 "/>
    <x v="23"/>
    <n v="41463594320"/>
    <d v="2026-07-11T12:03:03"/>
    <n v="115"/>
    <n v="3"/>
    <s v="NWBKGB2118W"/>
    <s v="GB"/>
    <s v="   "/>
    <n v="57317232"/>
    <n v="555010"/>
    <n v="100000"/>
    <s v="GBP"/>
    <n v="1290549.53"/>
    <s v="GIFT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6573514"/>
    <n v="146573514"/>
    <n v="146573514"/>
    <s v="GB84HAND40516234456032            "/>
    <s v="DEPOSIT ACCOUNT                                   "/>
  </r>
  <r>
    <n v="41463253599"/>
    <s v="C7 "/>
    <x v="23"/>
    <n v="41463253599"/>
    <d v="2026-07-11T07:01:03"/>
    <n v="115"/>
    <n v="3"/>
    <s v="           "/>
    <s v="GB"/>
    <s v="   "/>
    <n v="70368032"/>
    <n v="165873"/>
    <n v="100000"/>
    <s v="GBP"/>
    <n v="1290549.53"/>
    <s v="Saving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1421915"/>
    <n v="101421915"/>
    <n v="101421915"/>
    <s v="GB16HAND40516253720001            "/>
    <s v="CURRENT ACCOUNT                                   "/>
  </r>
  <r>
    <n v="41467041081"/>
    <s v="C6 "/>
    <x v="23"/>
    <n v="41467041081"/>
    <d v="2026-07-13T18:43:55"/>
    <n v="115"/>
    <n v="3"/>
    <s v="           "/>
    <s v="GB"/>
    <s v="   "/>
    <n v="61424661"/>
    <n v="608407"/>
    <n v="10000"/>
    <s v="GBP"/>
    <n v="129054.96"/>
    <s v="CHA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25048454"/>
    <n v="125048454"/>
    <n v="125048454"/>
    <s v="GB32HAND40516286154573            "/>
    <s v="CURRENT ACCOUNT                                   "/>
  </r>
  <r>
    <n v="41466483811"/>
    <s v="C7 "/>
    <x v="23"/>
    <n v="41466483811"/>
    <d v="2026-07-13T13:36:45"/>
    <n v="98"/>
    <n v="3"/>
    <s v="CAIXESBB   "/>
    <s v="ES"/>
    <s v="   "/>
    <s v="ES1321000780131300547958          "/>
    <s v="                              "/>
    <n v="116900"/>
    <s v="EUR"/>
    <n v="1296136.6100000001"/>
    <s v="CLASE G 8340MG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9278002"/>
    <n v="109278002"/>
    <n v="109278002"/>
    <s v="GB80HAND40516264932825            "/>
    <s v="EURO CURRENT ACCOUNT                              "/>
  </r>
  <r>
    <n v="41466468310"/>
    <s v="C7 "/>
    <x v="23"/>
    <n v="41466468310"/>
    <d v="2026-07-13T13:28:22"/>
    <n v="115"/>
    <n v="3"/>
    <s v="MYMBGB2LXXX"/>
    <s v="GB"/>
    <s v="   "/>
    <n v="58219401"/>
    <n v="230580"/>
    <n v="41000"/>
    <s v="GBP"/>
    <n v="529125.35"/>
    <s v="Funds Transfer 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35057461"/>
    <n v="135057461"/>
    <n v="135057461"/>
    <s v="GB87HAND40516238666845            "/>
    <s v="DEPOSIT ACCOUNT                                   "/>
  </r>
  <r>
    <n v="41466461015"/>
    <s v="C7 "/>
    <x v="23"/>
    <n v="41466461015"/>
    <d v="2026-07-13T13:24:35"/>
    <n v="115"/>
    <n v="3"/>
    <s v="MYMBGB2LXXX"/>
    <s v="GB"/>
    <s v="   "/>
    <n v="58219401"/>
    <n v="230580"/>
    <n v="60000"/>
    <s v="GBP"/>
    <n v="774329.78"/>
    <s v="Funds Transfer 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35057461"/>
    <n v="135057461"/>
    <n v="135057461"/>
    <s v="GB87HAND40516238666845            "/>
    <s v="DEPOSIT ACCOUNT                                   "/>
  </r>
  <r>
    <n v="41466102155"/>
    <s v="C7 "/>
    <x v="23"/>
    <n v="41466102155"/>
    <d v="2026-07-13T10:23:01"/>
    <n v="115"/>
    <n v="3"/>
    <s v="HBUKGB4196C"/>
    <s v="GB"/>
    <s v="   "/>
    <n v="95453348"/>
    <n v="401263"/>
    <n v="20000"/>
    <s v="GBP"/>
    <n v="258109.93"/>
    <s v="To HSB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4667308"/>
    <n v="104667308"/>
    <n v="104667308"/>
    <s v="GB76HAND40516246306375            "/>
    <s v="INSTANT ACCESS DEPOSIT ACCOUNT                    "/>
  </r>
  <r>
    <n v="41467610090"/>
    <s v="C7 "/>
    <x v="23"/>
    <n v="41467610090"/>
    <d v="2026-07-14T10:17:52"/>
    <n v="115"/>
    <n v="3"/>
    <s v="HBUKGB4196B"/>
    <s v="GB"/>
    <s v="   "/>
    <n v="22050994"/>
    <n v="401262"/>
    <n v="10000"/>
    <s v="GBP"/>
    <n v="129054.96"/>
    <s v="JB Maisi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09609511"/>
    <n v="109609511"/>
    <n v="109609511"/>
    <s v="GB18HAND40516257851874            "/>
    <s v="DEPOSIT ACCOUNT                                   "/>
  </r>
  <r>
    <n v="41469879563"/>
    <s v="C7 "/>
    <x v="23"/>
    <n v="41469879563"/>
    <d v="2026-07-15T16:17:43"/>
    <n v="115"/>
    <n v="3"/>
    <s v="           "/>
    <s v="GB"/>
    <s v="   "/>
    <n v="51971044"/>
    <n v="406301"/>
    <n v="19995"/>
    <s v="GBP"/>
    <n v="258045.42"/>
    <s v="CBS Fix I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92286806"/>
    <n v="92286806"/>
    <n v="92286806"/>
    <s v="GB50HAND40516241400001            "/>
    <s v="EXPENSES ACCOUNT                                  "/>
  </r>
  <r>
    <n v="41469450367"/>
    <s v="C7 "/>
    <x v="23"/>
    <n v="41469450367"/>
    <d v="2026-07-15T12:39:21"/>
    <n v="115"/>
    <n v="3"/>
    <s v="           "/>
    <s v="GB"/>
    <s v="   "/>
    <n v="91459589"/>
    <n v="406437"/>
    <n v="20000"/>
    <s v="GBP"/>
    <n v="258109.93"/>
    <s v="Michael Bayl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6609553"/>
    <n v="116609553"/>
    <n v="116609553"/>
    <s v="GB11HAND40516251349411            "/>
    <s v="CURRENT ACCOUNT                                   "/>
  </r>
  <r>
    <n v="41469373194"/>
    <s v="C7 "/>
    <x v="23"/>
    <n v="41469373194"/>
    <d v="2026-07-15T12:00:58"/>
    <n v="115"/>
    <n v="3"/>
    <s v="HBUKGB4166F"/>
    <s v="GB"/>
    <s v="   "/>
    <n v="91378988"/>
    <n v="403416"/>
    <n v="76990"/>
    <s v="GBP"/>
    <n v="993594.11"/>
    <s v="Karen HSBC acc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8071459"/>
    <n v="148071459"/>
    <n v="148071459"/>
    <s v="GB95HAND40516227722094            "/>
    <s v="EXECUTORS OF JOAN VERRILL ACCOUNT                 "/>
  </r>
  <r>
    <n v="41472246859"/>
    <s v="C6 "/>
    <x v="23"/>
    <n v="41472246859"/>
    <d v="2026-07-16T17:50:56"/>
    <n v="69"/>
    <n v="3"/>
    <s v="RBOSGB21528"/>
    <s v="GB"/>
    <s v="   "/>
    <n v="10030747"/>
    <n v="161923"/>
    <n v="250000"/>
    <s v="GBP"/>
    <n v="3226373.98"/>
    <s v="DH to DDJ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7560732"/>
    <n v="107560732"/>
    <n v="107560732"/>
    <s v="GB94HAND40516269781991            "/>
    <s v="CURRENT ACCOUNT                                   "/>
  </r>
  <r>
    <n v="41472245890"/>
    <s v="C7 "/>
    <x v="23"/>
    <n v="41472245890"/>
    <d v="2026-07-16T17:50:55"/>
    <n v="115"/>
    <n v="3"/>
    <s v="RBOSGB21528"/>
    <s v="GB"/>
    <s v="   "/>
    <n v="10030747"/>
    <n v="161923"/>
    <n v="17000"/>
    <s v="GBP"/>
    <n v="219393.44"/>
    <s v="DH for Step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7560732"/>
    <n v="107560732"/>
    <n v="107560732"/>
    <s v="GB94HAND40516269781991            "/>
    <s v="CURRENT ACCOUNT                                   "/>
  </r>
  <r>
    <n v="41473974572"/>
    <s v="C7 "/>
    <x v="23"/>
    <n v="41473974572"/>
    <d v="2026-07-17T18:29:16"/>
    <n v="115"/>
    <n v="3"/>
    <s v="           "/>
    <s v="GB"/>
    <s v="   "/>
    <n v="63246516"/>
    <n v="608407"/>
    <n v="90000"/>
    <s v="GBP"/>
    <n v="1161494.57"/>
    <s v="17/07 Cunningha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3075137"/>
    <n v="123075137"/>
    <n v="123075137"/>
    <s v="GB75HAND40516253213278            "/>
    <s v="CURRENT ACCOUNT                                   "/>
  </r>
  <r>
    <n v="41474001223"/>
    <s v="C8 "/>
    <x v="23"/>
    <n v="41474001223"/>
    <d v="2026-07-17T18:46:35"/>
    <n v="69"/>
    <n v="3"/>
    <s v="RBOSGB21528"/>
    <s v="GB"/>
    <s v="   "/>
    <n v="10030747"/>
    <n v="161923"/>
    <n v="250000"/>
    <s v="GBP"/>
    <n v="3226373.98"/>
    <s v="DH to DDJ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7560732"/>
    <n v="107560732"/>
    <n v="107560732"/>
    <s v="GB94HAND40516269781991            "/>
    <s v="CURRENT ACCOUNT                                   "/>
  </r>
  <r>
    <n v="41473841513"/>
    <s v="C7 "/>
    <x v="23"/>
    <n v="41473841513"/>
    <d v="2026-07-17T17:12:18"/>
    <n v="115"/>
    <n v="3"/>
    <s v="           "/>
    <s v="GB"/>
    <s v="   "/>
    <n v="24040801"/>
    <n v="40605"/>
    <n v="13329.74"/>
    <s v="GBP"/>
    <n v="172026.88"/>
    <s v="HBOT Sau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132131"/>
    <n v="128132131"/>
    <n v="128132131"/>
    <s v="GB39HAND40516258923540            "/>
    <s v="CURRENT ACCOUNT                                   "/>
  </r>
  <r>
    <n v="41473748681"/>
    <s v="C7 "/>
    <x v="23"/>
    <n v="41473748681"/>
    <d v="2026-07-17T16:20:46"/>
    <n v="115"/>
    <n v="3"/>
    <s v="           "/>
    <s v="GB"/>
    <s v="   "/>
    <n v="63246516"/>
    <n v="608407"/>
    <n v="10000"/>
    <s v="GBP"/>
    <n v="129054.96"/>
    <s v="17/07 Cunningha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3075137"/>
    <n v="123075137"/>
    <n v="123075137"/>
    <s v="GB75HAND40516253213278            "/>
    <s v="CURRENT ACCOUNT                                   "/>
  </r>
  <r>
    <n v="41473658022"/>
    <s v="C7 "/>
    <x v="23"/>
    <n v="41473658022"/>
    <d v="2026-07-17T15:33:06"/>
    <n v="115"/>
    <n v="3"/>
    <s v="           "/>
    <s v="GB"/>
    <s v="   "/>
    <n v="62629753"/>
    <n v="608407"/>
    <n v="10000"/>
    <s v="GBP"/>
    <n v="129054.96"/>
    <s v="Chase sa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18960145"/>
    <n v="118960145"/>
    <n v="118960145"/>
    <s v="GB51HAND40516241432963            "/>
    <s v="CURRENT ACCOUNT                                   "/>
  </r>
  <r>
    <n v="41473704457"/>
    <s v="C7 "/>
    <x v="23"/>
    <n v="41473704457"/>
    <d v="2026-07-17T15:56:36"/>
    <n v="115"/>
    <n v="3"/>
    <s v="           "/>
    <s v="GB"/>
    <s v="   "/>
    <n v="26406586"/>
    <n v="608456"/>
    <n v="85000"/>
    <s v="GBP"/>
    <n v="1096967.19"/>
    <s v="KRBS issue2 ltd a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96716188"/>
    <n v="96716188"/>
    <n v="96716188"/>
    <s v="GB95HAND40516247387001            "/>
    <s v="CURRENT ACCOUNT                                   "/>
  </r>
  <r>
    <n v="41473431379"/>
    <s v="C6 "/>
    <x v="23"/>
    <n v="41473431379"/>
    <d v="2026-07-17T13:41:27"/>
    <n v="115"/>
    <n v="3"/>
    <s v="           "/>
    <s v="GB"/>
    <s v="   "/>
    <n v="45057828"/>
    <n v="609204"/>
    <n v="25000"/>
    <s v="GBP"/>
    <n v="322637.40999999997"/>
    <s v="45057828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3366470"/>
    <n v="113366470"/>
    <n v="113366470"/>
    <s v="GB33HAND40516220222976            "/>
    <s v="DEPOSIT ACCOUNT NO.2                              "/>
  </r>
  <r>
    <n v="41473429686"/>
    <s v="C6 "/>
    <x v="23"/>
    <n v="41473429686"/>
    <d v="2026-07-17T13:40:45"/>
    <n v="115"/>
    <n v="3"/>
    <s v="           "/>
    <s v="GB"/>
    <s v="   "/>
    <n v="45103897"/>
    <n v="609204"/>
    <n v="25000"/>
    <s v="GBP"/>
    <n v="322637.40999999997"/>
    <s v="45103897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3366470"/>
    <n v="113366470"/>
    <n v="113366470"/>
    <s v="GB33HAND40516220222976            "/>
    <s v="DEPOSIT ACCOUNT NO.2                              "/>
  </r>
  <r>
    <n v="41472853048"/>
    <s v="C7 "/>
    <x v="23"/>
    <n v="41472853048"/>
    <d v="2026-07-17T09:00:52"/>
    <n v="115"/>
    <n v="3"/>
    <s v="HBUKGB4194R"/>
    <s v="GB"/>
    <s v="   "/>
    <n v="51470736"/>
    <n v="401160"/>
    <n v="10000"/>
    <s v="GBP"/>
    <n v="129054.96"/>
    <s v="FR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05165419"/>
    <n v="105165419"/>
    <n v="105165419"/>
    <s v="GB88HAND40516235315380            "/>
    <s v="CURRENT ACCOUNT                                   "/>
  </r>
  <r>
    <n v="41475226924"/>
    <s v="C7 "/>
    <x v="23"/>
    <n v="41475226924"/>
    <d v="2026-07-18T16:28:07"/>
    <n v="115"/>
    <n v="3"/>
    <s v="           "/>
    <s v="GB"/>
    <s v="   "/>
    <n v="24510889"/>
    <n v="230163"/>
    <n v="10000"/>
    <s v="GBP"/>
    <n v="129054.96"/>
    <s v="Trish Revolu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5686289"/>
    <n v="115686289"/>
    <n v="115686289"/>
    <s v="GB57HAND40516236962610            "/>
    <s v="DEPOSIT ACCOUNT                                   "/>
  </r>
  <r>
    <n v="41478263799"/>
    <s v="C7 "/>
    <x v="23"/>
    <n v="41478263799"/>
    <d v="2026-07-20T17:12:26"/>
    <n v="115"/>
    <n v="3"/>
    <s v="RBOSGB2109X"/>
    <s v="GB"/>
    <s v="   "/>
    <n v="10273093"/>
    <n v="160039"/>
    <n v="30000"/>
    <s v="GBP"/>
    <n v="389545.21"/>
    <s v="WEDD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2593520"/>
    <n v="112593520"/>
    <n v="112593520"/>
    <s v="GB45HAND40516289978467            "/>
    <s v="CURRENT ACCOUNT                                   "/>
  </r>
  <r>
    <n v="41480028554"/>
    <s v="C7 "/>
    <x v="23"/>
    <n v="41480028554"/>
    <d v="2026-07-21T18:00:52"/>
    <n v="115"/>
    <n v="3"/>
    <s v="           "/>
    <s v="GB"/>
    <s v="   "/>
    <n v="58200138"/>
    <n v="608407"/>
    <n v="50000"/>
    <s v="GBP"/>
    <n v="649241.99"/>
    <s v="House gift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5353056"/>
    <n v="105353056"/>
    <n v="105353056"/>
    <s v="GB17HAND40516217711061            "/>
    <s v="CURRENT ACCOUNT                                   "/>
  </r>
  <r>
    <n v="41479581129"/>
    <s v="C7 "/>
    <x v="23"/>
    <n v="41479581129"/>
    <d v="2026-07-21T14:09:31"/>
    <n v="69"/>
    <n v="3"/>
    <s v="           "/>
    <s v="GB"/>
    <s v="   "/>
    <n v="31682626"/>
    <n v="40075"/>
    <n v="1280000"/>
    <s v="GBP"/>
    <n v="16620595.1"/>
    <s v="Rasm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3290936"/>
    <n v="113290936"/>
    <n v="113290936"/>
    <s v="GB23HAND40516265532535            "/>
    <s v="CURRENT ACCOUNT                                   "/>
  </r>
  <r>
    <n v="41479518456"/>
    <s v="C7 "/>
    <x v="23"/>
    <n v="41479518456"/>
    <d v="2026-07-21T13:40:15"/>
    <n v="69"/>
    <n v="3"/>
    <s v="MIDLGB2196K"/>
    <s v="GB"/>
    <s v="   "/>
    <n v="24993780"/>
    <n v="403232"/>
    <n v="690000"/>
    <s v="GBP"/>
    <n v="8959539.5399999991"/>
    <s v="FL796856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5434856"/>
    <n v="105434856"/>
    <n v="105434856"/>
    <s v="GB41HAND40516289421662            "/>
    <s v="DEPOSIT ACCOUNT 2                                 "/>
  </r>
  <r>
    <n v="41479117936"/>
    <s v="C7 "/>
    <x v="23"/>
    <n v="41479117936"/>
    <d v="2026-07-21T10:25:03"/>
    <n v="115"/>
    <n v="3"/>
    <s v="CPBKGB21PSA"/>
    <s v="GB"/>
    <s v="   "/>
    <n v="13228536"/>
    <n v="89103"/>
    <n v="20000"/>
    <s v="GBP"/>
    <n v="259696.78"/>
    <s v="Gif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15108789"/>
    <n v="115108789"/>
    <n v="115108789"/>
    <s v="GB46HAND40516236196314            "/>
    <s v="ANNE DEPOSIT ACCOUNT                              "/>
  </r>
  <r>
    <n v="41478880110"/>
    <s v="C7 "/>
    <x v="23"/>
    <n v="41478880110"/>
    <d v="2026-07-21T07:28:06"/>
    <n v="115"/>
    <n v="3"/>
    <s v="           "/>
    <s v="GB"/>
    <s v="   "/>
    <n v="52565298"/>
    <n v="406301"/>
    <n v="10000"/>
    <s v="GBP"/>
    <n v="129848.44"/>
    <s v="cov isa rj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17666032"/>
    <n v="117666032"/>
    <n v="117666032"/>
    <s v="GB52HAND40516269547716            "/>
    <s v="CURRENT ACCOUNT MORTGAGE                          "/>
  </r>
  <r>
    <n v="41478879309"/>
    <s v="C7 "/>
    <x v="23"/>
    <n v="41478879309"/>
    <d v="2026-07-21T07:26:34"/>
    <n v="115"/>
    <n v="3"/>
    <s v="           "/>
    <s v="GB"/>
    <s v="   "/>
    <n v="52566295"/>
    <n v="406301"/>
    <n v="10000"/>
    <s v="GBP"/>
    <n v="129848.44"/>
    <s v="cov isa mj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17666032"/>
    <n v="117666032"/>
    <n v="117666032"/>
    <s v="GB52HAND40516269547716            "/>
    <s v="CURRENT ACCOUNT MORTGAGE                          "/>
  </r>
  <r>
    <n v="41481570256"/>
    <s v="C7 "/>
    <x v="23"/>
    <n v="41481570256"/>
    <d v="2026-07-22T17:03:40"/>
    <n v="115"/>
    <n v="3"/>
    <s v="           "/>
    <s v="GB"/>
    <s v="   "/>
    <n v="22119270"/>
    <n v="70806"/>
    <n v="19990"/>
    <s v="GBP"/>
    <n v="259566.93"/>
    <s v="ToFlexPlusExHbk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07906554"/>
    <n v="107906554"/>
    <n v="107906554"/>
    <s v="GB07HAND40516223978508            "/>
    <s v="CURRENT ACCOUNT                                   "/>
  </r>
  <r>
    <n v="41483476521"/>
    <s v="C7 "/>
    <x v="23"/>
    <n v="41483476521"/>
    <d v="2026-07-23T19:09:47"/>
    <n v="115"/>
    <n v="3"/>
    <s v="SRLGGB2LXXX"/>
    <s v="GB"/>
    <s v="   "/>
    <n v="54045382"/>
    <n v="608371"/>
    <n v="19999"/>
    <s v="GBP"/>
    <n v="259683.84"/>
    <s v="James Mossm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21654297"/>
    <n v="121654297"/>
    <n v="121654297"/>
    <s v="GB18HAND40516243010680            "/>
    <s v="DEPOSIT ACCOUNT                                   "/>
  </r>
  <r>
    <n v="41483449086"/>
    <s v="C7 "/>
    <x v="23"/>
    <n v="41483449086"/>
    <d v="2026-07-23T18:52:58"/>
    <n v="115"/>
    <n v="3"/>
    <s v="           "/>
    <s v="GB"/>
    <s v="   "/>
    <n v="21750060"/>
    <n v="230163"/>
    <n v="24000"/>
    <s v="GBP"/>
    <n v="311636.15000000002"/>
    <s v="Saving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0207412"/>
    <n v="110207412"/>
    <n v="110207412"/>
    <s v="GB02HAND40516229567738            "/>
    <s v="CURRENT ACCOUNT                                   "/>
  </r>
  <r>
    <n v="41483437207"/>
    <s v="C7 "/>
    <x v="23"/>
    <n v="41483437207"/>
    <d v="2026-07-23T18:46:06"/>
    <n v="115"/>
    <n v="3"/>
    <s v="           "/>
    <s v="GB"/>
    <s v="   "/>
    <n v="54088624"/>
    <n v="90643"/>
    <n v="75000"/>
    <s v="GBP"/>
    <n v="973862.99"/>
    <s v="Transfer HB to 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8965344"/>
    <n v="108965344"/>
    <n v="108965344"/>
    <s v="GB15HAND40516215695922            "/>
    <s v="CURRENT ACCOUNT                                   "/>
  </r>
  <r>
    <n v="41483254891"/>
    <s v="C7 "/>
    <x v="23"/>
    <n v="41483254891"/>
    <d v="2026-07-23T17:32:42"/>
    <n v="115"/>
    <n v="3"/>
    <s v="           "/>
    <s v="GB"/>
    <s v="   "/>
    <n v="73114139"/>
    <n v="406437"/>
    <n v="100000"/>
    <s v="GBP"/>
    <n v="1298483.98"/>
    <s v="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9228773"/>
    <n v="119228773"/>
    <n v="119228773"/>
    <s v="GB89HAND40516214461623            "/>
    <s v="DEPOSIT ACCOUNT                                   "/>
  </r>
  <r>
    <n v="41483244960"/>
    <s v="C8 "/>
    <x v="23"/>
    <n v="41483244960"/>
    <d v="2026-07-23T17:27:24"/>
    <n v="115"/>
    <n v="3"/>
    <s v="           "/>
    <s v="GB"/>
    <s v="   "/>
    <n v="17554591"/>
    <n v="40339"/>
    <n v="50000"/>
    <s v="GBP"/>
    <n v="649241.99"/>
    <s v="From Cahoot sav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5870745"/>
    <n v="105870745"/>
    <n v="105870745"/>
    <s v="GB18HAND40516288234505            "/>
    <s v="CURRENT ACCOUNT                                   "/>
  </r>
  <r>
    <n v="41483063386"/>
    <s v="C6 "/>
    <x v="23"/>
    <n v="41483063386"/>
    <d v="2026-07-23T15:53:26"/>
    <n v="115"/>
    <n v="3"/>
    <s v="           "/>
    <s v="GB"/>
    <s v="   "/>
    <n v="83372888"/>
    <n v="608407"/>
    <n v="80000"/>
    <s v="GBP"/>
    <n v="1038787.21"/>
    <s v="TVR payment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2720485"/>
    <n v="122720485"/>
    <n v="122720485"/>
    <s v="GB47HAND40516224759996            "/>
    <s v="CURRENT ACCOUNT                                   "/>
  </r>
  <r>
    <n v="41482548652"/>
    <s v="C7 "/>
    <x v="23"/>
    <n v="41482548652"/>
    <d v="2026-07-23T11:49:38"/>
    <n v="115"/>
    <n v="3"/>
    <s v="BOFSGBS1CTL"/>
    <s v="GB"/>
    <s v="   "/>
    <n v="13139066"/>
    <n v="804887"/>
    <n v="90000"/>
    <s v="GBP"/>
    <n v="1168635.6399999999"/>
    <s v="HB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35198109"/>
    <n v="135198109"/>
    <n v="135198109"/>
    <s v="GB84HAND40516224516248            "/>
    <s v="DEPOSIT ACCOUNT                                   "/>
  </r>
  <r>
    <n v="41486314200"/>
    <s v="C7 "/>
    <x v="23"/>
    <n v="41486314200"/>
    <d v="2026-07-24T21:37:26"/>
    <n v="115"/>
    <n v="3"/>
    <s v="SRLGGB2LXXX"/>
    <s v="GB"/>
    <s v="   "/>
    <n v="45899059"/>
    <n v="608371"/>
    <n v="9999"/>
    <s v="GBP"/>
    <n v="129835.4"/>
    <s v="Te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8407800"/>
    <n v="108407800"/>
    <n v="108407800"/>
    <s v="GB87HAND40516239324990            "/>
    <s v="DEPOSIT ACCOUNT                                   "/>
  </r>
  <r>
    <n v="41486213067"/>
    <s v="C6 "/>
    <x v="23"/>
    <n v="41486213067"/>
    <d v="2026-07-24T20:28:04"/>
    <n v="115"/>
    <n v="3"/>
    <s v="           "/>
    <s v="GB"/>
    <s v="   "/>
    <n v="26180505"/>
    <n v="608407"/>
    <n v="100000"/>
    <s v="GBP"/>
    <n v="1298483.98"/>
    <s v="CHA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86224304"/>
    <s v="C6 "/>
    <x v="23"/>
    <n v="41486224304"/>
    <d v="2026-07-24T20:35:21"/>
    <n v="115"/>
    <n v="3"/>
    <s v="           "/>
    <s v="GB"/>
    <s v="   "/>
    <n v="26180505"/>
    <n v="608407"/>
    <n v="100000"/>
    <s v="GBP"/>
    <n v="1298483.98"/>
    <s v="Chase AC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86216916"/>
    <s v="C6 "/>
    <x v="23"/>
    <n v="41486216916"/>
    <d v="2026-07-24T20:30:36"/>
    <n v="115"/>
    <n v="3"/>
    <s v="           "/>
    <s v="GB"/>
    <s v="   "/>
    <n v="26180505"/>
    <n v="608407"/>
    <n v="100000"/>
    <s v="GBP"/>
    <n v="1298483.98"/>
    <s v="CHA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86220957"/>
    <s v="C6 "/>
    <x v="23"/>
    <n v="41486220957"/>
    <d v="2026-07-24T20:33:07"/>
    <n v="115"/>
    <n v="3"/>
    <s v="           "/>
    <s v="GB"/>
    <s v="   "/>
    <n v="26180505"/>
    <n v="608407"/>
    <n v="100000"/>
    <s v="GBP"/>
    <n v="1298483.98"/>
    <s v="Chase AC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85691443"/>
    <s v="C7 "/>
    <x v="23"/>
    <n v="41485691443"/>
    <d v="2026-07-24T16:09:37"/>
    <n v="115"/>
    <n v="3"/>
    <s v="           "/>
    <s v="GB"/>
    <s v="   "/>
    <n v="81635056"/>
    <n v="406437"/>
    <n v="50000"/>
    <s v="GBP"/>
    <n v="649241.99"/>
    <s v="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1862155"/>
    <n v="121862155"/>
    <n v="121862155"/>
    <s v="GB90HAND40516238708986            "/>
    <s v="CURRENT ACCOUNT                                   "/>
  </r>
  <r>
    <n v="41485012879"/>
    <s v="C7 "/>
    <x v="23"/>
    <n v="41485012879"/>
    <d v="2026-07-24T12:17:34"/>
    <n v="115"/>
    <n v="3"/>
    <s v="           "/>
    <s v="GB"/>
    <s v="   "/>
    <n v="71561241"/>
    <n v="608407"/>
    <n v="10000"/>
    <s v="GBP"/>
    <n v="129848.44"/>
    <s v="Graha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26877208"/>
    <n v="126877208"/>
    <n v="126877208"/>
    <s v="GB80HAND40516238756793            "/>
    <s v="DEPOSIT ACCOUNT                                   "/>
  </r>
  <r>
    <n v="41484745502"/>
    <s v="C7 "/>
    <x v="23"/>
    <n v="41484745502"/>
    <d v="2026-07-24T10:56:26"/>
    <n v="115"/>
    <n v="3"/>
    <s v="SRLGGB2LXXX"/>
    <s v="GB"/>
    <s v="   "/>
    <n v="54045382"/>
    <n v="608371"/>
    <n v="20000"/>
    <s v="GBP"/>
    <n v="259696.78"/>
    <s v="James Mossm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21654297"/>
    <n v="121654297"/>
    <n v="121654297"/>
    <s v="GB18HAND40516243010680            "/>
    <s v="DEPOSIT ACCOUNT                                   "/>
  </r>
  <r>
    <n v="41484393904"/>
    <s v="C7 "/>
    <x v="23"/>
    <n v="41484393904"/>
    <d v="2026-07-24T09:12:35"/>
    <n v="115"/>
    <n v="3"/>
    <s v="           "/>
    <s v="GB"/>
    <s v="   "/>
    <n v="71561241"/>
    <n v="608407"/>
    <n v="10000"/>
    <s v="GBP"/>
    <n v="129848.44"/>
    <s v="Graha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26877208"/>
    <n v="126877208"/>
    <n v="126877208"/>
    <s v="GB80HAND40516238756793            "/>
    <s v="DEPOSIT ACCOUNT                                   "/>
  </r>
  <r>
    <n v="41486930261"/>
    <s v="C7 "/>
    <x v="23"/>
    <n v="41486930261"/>
    <d v="2026-07-25T11:48:46"/>
    <n v="115"/>
    <n v="3"/>
    <s v="           "/>
    <s v="GB"/>
    <s v="   "/>
    <n v="31084765"/>
    <n v="608407"/>
    <n v="20000"/>
    <s v="GBP"/>
    <n v="259696.78"/>
    <s v="Chase from Hand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38513494"/>
    <n v="138513494"/>
    <n v="138513494"/>
    <s v="GB73HAND40516268912279            "/>
    <s v="DEPOSIT ACCOUNT                                   "/>
  </r>
  <r>
    <n v="41488362553"/>
    <s v="C7 "/>
    <x v="23"/>
    <n v="41488362553"/>
    <d v="2026-07-26T10:03:23"/>
    <n v="115"/>
    <n v="3"/>
    <s v="           "/>
    <s v="GB"/>
    <s v="   "/>
    <n v="12647717"/>
    <n v="608407"/>
    <n v="75000"/>
    <s v="GBP"/>
    <n v="973862.99"/>
    <s v="House Gif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6134032"/>
    <n v="116134032"/>
    <n v="116134032"/>
    <s v="GB32HAND40516252228338            "/>
    <s v="DEPOSIT ACCOUNT                                   "/>
  </r>
  <r>
    <n v="41491853854"/>
    <s v="C7 "/>
    <x v="23"/>
    <n v="41491853854"/>
    <d v="2026-07-27T21:59:25"/>
    <n v="115"/>
    <n v="3"/>
    <s v="NWBKGB2146C"/>
    <s v="GB"/>
    <s v="   "/>
    <n v="25874586"/>
    <n v="501029"/>
    <n v="16999"/>
    <s v="GBP"/>
    <n v="220729.31"/>
    <s v="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29901054"/>
    <n v="129901054"/>
    <n v="129901054"/>
    <s v="GB81HAND40516228217919            "/>
    <s v="DEPOSIT ACCOUNT                                   "/>
  </r>
  <r>
    <n v="41491748052"/>
    <s v="C7 "/>
    <x v="23"/>
    <n v="41491748052"/>
    <d v="2026-07-27T20:49:49"/>
    <n v="115"/>
    <n v="3"/>
    <s v="           "/>
    <s v="GB"/>
    <s v="   "/>
    <n v="28050318"/>
    <n v="230163"/>
    <n v="11000"/>
    <s v="GBP"/>
    <n v="142833.28"/>
    <s v="Revolu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23896391"/>
    <n v="123896391"/>
    <n v="123896391"/>
    <s v="GB10HAND40516285046550            "/>
    <s v="CURRENT ACCOUNT                                   "/>
  </r>
  <r>
    <n v="41493575842"/>
    <s v="C7 "/>
    <x v="23"/>
    <n v="41493575842"/>
    <d v="2026-07-28T21:12:50"/>
    <n v="115"/>
    <n v="3"/>
    <s v="           "/>
    <s v="GB"/>
    <s v="   "/>
    <n v="13117510"/>
    <n v="608407"/>
    <n v="100000"/>
    <s v="GBP"/>
    <n v="1298483.98"/>
    <s v="To Chase saving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9625572"/>
    <n v="119625572"/>
    <n v="119625572"/>
    <s v="GB68HAND40516210545335            "/>
    <s v="CURRENT ACCOUNT                                   "/>
  </r>
  <r>
    <n v="41492875280"/>
    <s v="C7 "/>
    <x v="23"/>
    <n v="41492875280"/>
    <d v="2026-07-28T14:43:38"/>
    <n v="115"/>
    <n v="3"/>
    <s v="           "/>
    <s v="GB"/>
    <s v="   "/>
    <n v="93115724"/>
    <n v="609204"/>
    <n v="80000"/>
    <s v="GBP"/>
    <n v="1038787.21"/>
    <s v="93115724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0114752"/>
    <n v="140114752"/>
    <n v="140114752"/>
    <s v="GB89HAND40516263895733            "/>
    <s v="CURRENT ACCOUNT                                   "/>
  </r>
  <r>
    <n v="41492391683"/>
    <s v="C7 "/>
    <x v="23"/>
    <n v="41492391683"/>
    <d v="2026-07-28T10:56:27"/>
    <n v="115"/>
    <n v="3"/>
    <s v="           "/>
    <s v="GB"/>
    <s v="   "/>
    <n v="43255473"/>
    <n v="608407"/>
    <n v="25000"/>
    <s v="GBP"/>
    <n v="324621"/>
    <s v="Trf to saving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5377780"/>
    <n v="115377780"/>
    <n v="115377780"/>
    <s v="GB49HAND40516276240479            "/>
    <s v="DEPOSIT ACCOUNT                                   "/>
  </r>
  <r>
    <n v="41492221395"/>
    <s v="C7 "/>
    <x v="23"/>
    <n v="41492221395"/>
    <d v="2026-07-28T09:27:24"/>
    <n v="115"/>
    <n v="3"/>
    <s v="           "/>
    <s v="GB"/>
    <s v="   "/>
    <n v="93707121"/>
    <n v="205312"/>
    <n v="10000"/>
    <s v="GBP"/>
    <n v="129848.44"/>
    <s v="Gundy series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26603778"/>
    <n v="126603778"/>
    <n v="126603778"/>
    <s v="GB90HAND40516212183269            "/>
    <s v="SCHOOL FEES DEPOSIT ACCOUNT                     "/>
  </r>
  <r>
    <n v="41492198980"/>
    <s v="C7 "/>
    <x v="23"/>
    <n v="41492198980"/>
    <d v="2026-07-28T09:13:33"/>
    <n v="115"/>
    <n v="3"/>
    <s v="           "/>
    <s v="GB"/>
    <s v="   "/>
    <n v="61021382"/>
    <n v="406437"/>
    <n v="20000"/>
    <s v="GBP"/>
    <n v="259696.78"/>
    <s v="moira ush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13115232"/>
    <n v="113115232"/>
    <n v="113115232"/>
    <s v="GB64HAND40516271571405            "/>
    <s v="CURRENT ACCOUNT NO 1                              "/>
  </r>
  <r>
    <n v="41492150475"/>
    <s v="C7 "/>
    <x v="23"/>
    <n v="41492150475"/>
    <d v="2026-07-28T08:40:56"/>
    <n v="115"/>
    <n v="3"/>
    <s v="           "/>
    <s v="GB"/>
    <s v="   "/>
    <n v="93707121"/>
    <n v="205312"/>
    <n v="10000"/>
    <s v="GBP"/>
    <n v="129848.44"/>
    <s v="Project 53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28003720"/>
    <n v="128003720"/>
    <n v="128003720"/>
    <s v="GB31HAND40516261671791            "/>
    <s v="RESERVE CURRENT ACCOUNT                           "/>
  </r>
  <r>
    <n v="41492029854"/>
    <s v="C7 "/>
    <x v="23"/>
    <n v="41492029854"/>
    <d v="2026-07-28T04:49:49"/>
    <n v="69"/>
    <n v="3"/>
    <s v="           "/>
    <s v="GB"/>
    <s v="   "/>
    <n v="5048715"/>
    <n v="404875"/>
    <n v="3899990"/>
    <s v="GBP"/>
    <n v="50640745.969999999"/>
    <s v="FBO Zim Fam Tru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1696480"/>
    <n v="111696480"/>
    <n v="111696480"/>
    <s v="GB65HAND40516246794580            "/>
    <s v="CURRENT ACCOUNT                                   "/>
  </r>
  <r>
    <n v="41492007964"/>
    <s v="C7 "/>
    <x v="23"/>
    <n v="41492007964"/>
    <d v="2026-07-28T01:31:48"/>
    <n v="115"/>
    <n v="3"/>
    <s v="HBUKGB4104A"/>
    <s v="GB"/>
    <s v="   "/>
    <n v="31512617"/>
    <n v="401903"/>
    <n v="10000"/>
    <s v="GBP"/>
    <n v="129848.44"/>
    <s v="A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6494933"/>
    <n v="106494933"/>
    <n v="106494933"/>
    <s v="GB69HAND40516217834867            "/>
    <s v="CURRENT ACCOUNT                                   "/>
  </r>
  <r>
    <n v="41494751270"/>
    <s v="C7 "/>
    <x v="23"/>
    <n v="41494751270"/>
    <d v="2026-07-29T14:01:23"/>
    <n v="115"/>
    <n v="3"/>
    <s v="           "/>
    <s v="GB"/>
    <s v="   "/>
    <n v="89260625"/>
    <n v="230120"/>
    <n v="75000"/>
    <s v="GBP"/>
    <n v="973862.99"/>
    <s v="Revolu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0818184"/>
    <n v="110818184"/>
    <n v="110818184"/>
    <s v="GB64HAND40516215918722            "/>
    <s v="DEPOSIT ACCOUNT                                   "/>
  </r>
  <r>
    <n v="41494665667"/>
    <s v="C7 "/>
    <x v="23"/>
    <n v="41494665667"/>
    <d v="2026-07-29T13:17:18"/>
    <n v="115"/>
    <n v="3"/>
    <s v="           "/>
    <s v="GB"/>
    <s v="   "/>
    <n v="12808787"/>
    <n v="406437"/>
    <n v="15000"/>
    <s v="GBP"/>
    <n v="194772.56"/>
    <s v="Marcus savings ac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17384925"/>
    <n v="117384925"/>
    <n v="117384925"/>
    <s v="GB17HAND40516284008524            "/>
    <s v="DENNE OT CURRENT ACCOUNT                          "/>
  </r>
  <r>
    <n v="41494302533"/>
    <s v="C7 "/>
    <x v="23"/>
    <n v="41494302533"/>
    <d v="2026-07-29T10:13:44"/>
    <n v="69"/>
    <n v="3"/>
    <s v="           "/>
    <s v="GB"/>
    <s v="   "/>
    <n v="62571992"/>
    <n v="230120"/>
    <n v="119000"/>
    <s v="GBP"/>
    <n v="1545195.92"/>
    <s v="Handelsbank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9403236"/>
    <n v="119403236"/>
    <n v="119403236"/>
    <s v="GB31HAND40516249838082            "/>
    <s v="CURRENT ACCOUNT                                   "/>
  </r>
  <r>
    <n v="41494217700"/>
    <s v="C7 "/>
    <x v="23"/>
    <n v="41494217700"/>
    <d v="2026-07-29T09:20:07"/>
    <n v="115"/>
    <n v="3"/>
    <s v="           "/>
    <s v="GB"/>
    <s v="   "/>
    <n v="89260625"/>
    <n v="230120"/>
    <n v="75000"/>
    <s v="GBP"/>
    <n v="973862.99"/>
    <s v="Revolu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0818184"/>
    <n v="110818184"/>
    <n v="110818184"/>
    <s v="GB64HAND40516215918722            "/>
    <s v="DEPOSIT ACCOUNT                                   "/>
  </r>
  <r>
    <n v="41497065241"/>
    <s v="C7 "/>
    <x v="23"/>
    <n v="41497065241"/>
    <d v="2026-07-30T20:25:30"/>
    <n v="115"/>
    <n v="3"/>
    <s v="           "/>
    <s v="GB"/>
    <s v="   "/>
    <n v="73002616"/>
    <n v="206155"/>
    <n v="14644.06"/>
    <s v="GBP"/>
    <n v="190150.8"/>
    <s v="AWI trust tax 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7888564"/>
    <n v="125780189"/>
    <n v="147888564"/>
    <s v="GB40HAND40516225024544            "/>
    <s v="DEPOSIT ACCOUNT                                   "/>
  </r>
  <r>
    <n v="41496883182"/>
    <s v="C7 "/>
    <x v="23"/>
    <n v="41496883182"/>
    <d v="2026-07-30T18:28:05"/>
    <n v="115"/>
    <n v="3"/>
    <s v="           "/>
    <s v="GB"/>
    <s v="   "/>
    <n v="32972468"/>
    <n v="771909"/>
    <n v="20000"/>
    <s v="GBP"/>
    <n v="259696.78"/>
    <s v="Earn ou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4760279"/>
    <n v="144760279"/>
    <n v="144760279"/>
    <s v="GB68HAND40516278409348            "/>
    <s v="DEPOSIT ACCOUNT                                   "/>
  </r>
  <r>
    <n v="41495811253"/>
    <s v="C6 "/>
    <x v="23"/>
    <n v="41495811253"/>
    <d v="2026-07-30T08:22:08"/>
    <n v="115"/>
    <n v="3"/>
    <s v="           "/>
    <s v="GB"/>
    <s v="   "/>
    <n v="12808787"/>
    <n v="406437"/>
    <n v="13590"/>
    <s v="GBP"/>
    <n v="176463.93"/>
    <s v="Marcus savings ac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17384925"/>
    <n v="117384925"/>
    <n v="117384925"/>
    <s v="GB17HAND40516284008524            "/>
    <s v="DENNE OT CURRENT ACCOUNT                          "/>
  </r>
  <r>
    <n v="41495789445"/>
    <s v="C7 "/>
    <x v="23"/>
    <n v="41495789445"/>
    <d v="2026-07-30T08:05:44"/>
    <n v="115"/>
    <n v="3"/>
    <s v="           "/>
    <s v="GB"/>
    <s v="   "/>
    <n v="49067234"/>
    <n v="608407"/>
    <n v="20000"/>
    <s v="GBP"/>
    <n v="259696.78"/>
    <s v="Savings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17896027"/>
    <n v="117896027"/>
    <n v="117896027"/>
    <s v="GB16HAND40516230705102            "/>
    <s v="DEPOSIT ACCOUNT                                   "/>
  </r>
  <r>
    <n v="41498866040"/>
    <s v="C7 "/>
    <x v="23"/>
    <n v="41498866040"/>
    <d v="2026-07-31T22:04:41"/>
    <n v="115"/>
    <n v="3"/>
    <s v="NWBKGB2104S"/>
    <s v="GB"/>
    <s v="   "/>
    <n v="47989254"/>
    <n v="560069"/>
    <n v="20000"/>
    <s v="GBP"/>
    <n v="259696.78"/>
    <s v="Anne War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1854935"/>
    <n v="141854935"/>
    <n v="141854935"/>
    <s v="GB70HAND40516272017982            "/>
    <s v="DEPOSIT ACCOUNT                                   "/>
  </r>
  <r>
    <n v="41497898755"/>
    <s v="C7 "/>
    <x v="23"/>
    <n v="41497898755"/>
    <d v="2026-07-31T12:43:27"/>
    <n v="115"/>
    <n v="3"/>
    <s v="           "/>
    <s v="GB"/>
    <s v="   "/>
    <n v="50871486"/>
    <n v="202990"/>
    <n v="20000"/>
    <s v="GBP"/>
    <n v="259696.78"/>
    <s v="TVK 47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06021520"/>
    <n v="106021520"/>
    <n v="106021520"/>
    <s v="GB37HAND40516218065042            "/>
    <s v="CURRENT ACCOUNT                                   "/>
  </r>
  <r>
    <n v="41497762265"/>
    <s v="C7 "/>
    <x v="23"/>
    <n v="41497762265"/>
    <d v="2026-07-31T11:37:51"/>
    <n v="115"/>
    <n v="3"/>
    <s v="BSCOGB2LXXX"/>
    <s v="GB"/>
    <s v="   "/>
    <n v="10066417"/>
    <n v="600168"/>
    <n v="19900"/>
    <s v="GBP"/>
    <n v="258398.34"/>
    <s v="Gift Transfer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05443931"/>
    <n v="105443931"/>
    <n v="105443931"/>
    <s v="GB31HAND40516225454319            "/>
    <s v="DEPOSIT ACCOUNT                                   "/>
  </r>
  <r>
    <n v="41497368259"/>
    <s v="C7 "/>
    <x v="23"/>
    <n v="41497368259"/>
    <d v="2026-07-31T04:49:33"/>
    <n v="69"/>
    <n v="3"/>
    <s v="HBUKGB4109N"/>
    <s v="GB"/>
    <s v="   "/>
    <n v="92301520"/>
    <n v="404527"/>
    <n v="150000"/>
    <s v="GBP"/>
    <n v="1947725.97"/>
    <s v="Error Repaym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7648289"/>
    <n v="107648289"/>
    <n v="107648289"/>
    <s v="GB09HAND40516265333064            "/>
    <s v="DEPOSIT ACCOUNT                                   "/>
  </r>
  <r>
    <n v="41499919515"/>
    <s v="C6 "/>
    <x v="23"/>
    <n v="41499919515"/>
    <d v="2026-08-01T16:48:29"/>
    <n v="115"/>
    <n v="3"/>
    <s v="           "/>
    <s v="GB"/>
    <s v="   "/>
    <n v="38307720"/>
    <n v="90130"/>
    <n v="40240.32"/>
    <s v="GBP"/>
    <n v="522514.15"/>
    <s v="Sant HB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9007375"/>
    <n v="119007375"/>
    <n v="119007375"/>
    <s v="GB69HAND40516213678514            "/>
    <s v="DEPOSIT ACCOUNT                                   "/>
  </r>
  <r>
    <n v="41499878714"/>
    <s v="C7 "/>
    <x v="23"/>
    <n v="41499878714"/>
    <d v="2026-08-01T16:21:09"/>
    <n v="115"/>
    <n v="3"/>
    <s v="           "/>
    <s v="GB"/>
    <s v="   "/>
    <n v="10475655"/>
    <n v="40831"/>
    <n v="50000"/>
    <s v="GBP"/>
    <n v="649241.99"/>
    <s v="Camilla Bourqu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5779995"/>
    <n v="105779995"/>
    <n v="105779995"/>
    <s v="GB17HAND40516212615263            "/>
    <s v="CURRENT ACCOUNT                                   "/>
  </r>
  <r>
    <n v="41499444439"/>
    <s v="C7 "/>
    <x v="23"/>
    <n v="41499444439"/>
    <d v="2026-08-01T12:33:59"/>
    <n v="115"/>
    <n v="3"/>
    <s v="           "/>
    <s v="GB"/>
    <s v="   "/>
    <n v="80762083"/>
    <n v="205961"/>
    <n v="15000"/>
    <s v="GBP"/>
    <n v="194772.56"/>
    <s v="Deposit 20 lind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22744105"/>
    <n v="122744105"/>
    <n v="122744105"/>
    <s v="GB26HAND40516240759748            "/>
    <s v="CURRENT ACCOUNT                                   "/>
  </r>
  <r>
    <n v="41499060236"/>
    <s v="C7 "/>
    <x v="23"/>
    <n v="41499060236"/>
    <d v="2026-08-01T08:23:06"/>
    <n v="115"/>
    <n v="3"/>
    <s v="HBUKGB4197B"/>
    <s v="GB"/>
    <s v="   "/>
    <n v="2024470"/>
    <n v="401298"/>
    <n v="19500"/>
    <s v="GBP"/>
    <n v="253204.4"/>
    <s v="HSBC glob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10520855"/>
    <n v="110520855"/>
    <n v="110520855"/>
    <s v="GB73HAND40516253755156            "/>
    <s v="DEPOSIT ACCOUNT                                   "/>
  </r>
  <r>
    <n v="41501646306"/>
    <s v="C7 "/>
    <x v="23"/>
    <n v="41501646306"/>
    <d v="2026-08-02T22:18:54"/>
    <n v="115"/>
    <n v="3"/>
    <s v="           "/>
    <s v="GB"/>
    <s v="   "/>
    <n v="82261370"/>
    <n v="608407"/>
    <n v="15000"/>
    <s v="GBP"/>
    <n v="194772.56"/>
    <s v="HB Deposit ac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03005948"/>
    <n v="103005948"/>
    <n v="103005948"/>
    <s v="GB55HAND40516250317509            "/>
    <s v="DEPOSIT ACCOUNT                                   "/>
  </r>
  <r>
    <n v="41501265441"/>
    <s v="C6 "/>
    <x v="23"/>
    <n v="41501265441"/>
    <d v="2026-08-02T17:13:16"/>
    <n v="115"/>
    <n v="3"/>
    <s v="MIDLGB2196K"/>
    <s v="GB"/>
    <s v="   "/>
    <n v="25574811"/>
    <n v="403232"/>
    <n v="10000"/>
    <s v="GBP"/>
    <n v="129848.44"/>
    <s v="FUND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47009427"/>
    <n v="147009427"/>
    <n v="147009427"/>
    <s v="GB13HAND40516230631242            "/>
    <s v="CURRENT ACCOUNT                                   "/>
  </r>
  <r>
    <n v="41503241977"/>
    <s v="C7 "/>
    <x v="23"/>
    <n v="41503241977"/>
    <d v="2026-08-03T21:30:48"/>
    <n v="115"/>
    <n v="3"/>
    <s v="           "/>
    <s v="GB"/>
    <s v="   "/>
    <n v="2513790"/>
    <n v="40006"/>
    <n v="9998.48"/>
    <s v="GBP"/>
    <n v="129828.65"/>
    <s v="Directors 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20443536"/>
    <n v="120443536"/>
    <n v="120443536"/>
    <s v="GB37HAND40516277924324            "/>
    <s v="DEPOSIT ACCOUNT                                   "/>
  </r>
  <r>
    <n v="41503170231"/>
    <s v="C7 "/>
    <x v="23"/>
    <n v="41503170231"/>
    <d v="2026-08-03T20:20:36"/>
    <n v="115"/>
    <n v="3"/>
    <s v="RBOSGB21059"/>
    <s v="GB"/>
    <s v="   "/>
    <n v="20451979"/>
    <n v="160001"/>
    <n v="17000"/>
    <s v="GBP"/>
    <n v="220742.25"/>
    <s v="barrat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01939981"/>
    <n v="101939981"/>
    <n v="101939981"/>
    <s v="GB04HAND40516289133171            "/>
    <s v="DEPOSIT ACCOUNT                                   "/>
  </r>
  <r>
    <n v="41502622988"/>
    <s v="C7 "/>
    <x v="23"/>
    <n v="41502622988"/>
    <d v="2026-08-03T15:09:14"/>
    <n v="69"/>
    <n v="3"/>
    <s v="MIDLGB2196K"/>
    <s v="GB"/>
    <s v="   "/>
    <n v="9017860"/>
    <n v="403232"/>
    <n v="500000"/>
    <s v="GBP"/>
    <n v="6492420.0099999998"/>
    <s v="FL9762498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8407818"/>
    <n v="108407818"/>
    <n v="108407818"/>
    <s v="GB77HAND40516220597283            "/>
    <s v="CURRENT ACCOUNT                                   "/>
  </r>
  <r>
    <n v="41502365582"/>
    <s v="C7 "/>
    <x v="23"/>
    <n v="41502365582"/>
    <d v="2026-08-03T13:06:28"/>
    <n v="115"/>
    <n v="3"/>
    <s v="           "/>
    <s v="GB"/>
    <s v="   "/>
    <n v="3649830"/>
    <n v="203775"/>
    <n v="100000"/>
    <s v="GBP"/>
    <n v="1298483.98"/>
    <s v="Hartla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4780263"/>
    <n v="124780263"/>
    <n v="124780263"/>
    <s v="GB78HAND40516235771945            "/>
    <s v="DEPOSIT ACCOUNT                                   "/>
  </r>
  <r>
    <n v="41501866847"/>
    <s v="C7 "/>
    <x v="23"/>
    <n v="41501866847"/>
    <d v="2026-08-03T08:25:18"/>
    <n v="115"/>
    <n v="3"/>
    <s v="MIDLGB2196K"/>
    <s v="GB"/>
    <s v="   "/>
    <n v="25574811"/>
    <n v="403232"/>
    <n v="20000"/>
    <s v="GBP"/>
    <n v="259696.78"/>
    <s v="FUND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47009427"/>
    <n v="147009427"/>
    <n v="147009427"/>
    <s v="GB13HAND40516230631242            "/>
    <s v="CURRENT ACCOUNT                                   "/>
  </r>
  <r>
    <n v="41504635203"/>
    <s v="C6 "/>
    <x v="23"/>
    <n v="41504635203"/>
    <d v="2026-08-04T19:08:48"/>
    <n v="115"/>
    <n v="3"/>
    <s v="SRLGGB2LXXX"/>
    <s v="GB"/>
    <s v="   "/>
    <n v="12470709"/>
    <n v="608371"/>
    <n v="18000"/>
    <s v="GBP"/>
    <n v="233727.09"/>
    <s v="INV-08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324746"/>
    <n v="128324746"/>
    <n v="128324746"/>
    <s v="GB15HAND40516225968804            "/>
    <s v="OFFSET ACCOUNT                                    "/>
  </r>
  <r>
    <n v="41504465001"/>
    <s v="C7 "/>
    <x v="23"/>
    <n v="41504465001"/>
    <d v="2026-08-04T17:21:38"/>
    <n v="115"/>
    <n v="3"/>
    <s v="CBRLGB2LXXX"/>
    <s v="GB"/>
    <s v="   "/>
    <n v="12571423"/>
    <n v="165187"/>
    <n v="100000"/>
    <s v="GBP"/>
    <n v="1298483.98"/>
    <s v="Martin HD9 6N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4115159"/>
    <n v="104115159"/>
    <n v="104115159"/>
    <s v="GB73HAND40516286347641            "/>
    <s v="CURRENT ACCOUNT                                   "/>
  </r>
  <r>
    <n v="41504312903"/>
    <s v="C7 "/>
    <x v="23"/>
    <n v="41504312903"/>
    <d v="2026-08-04T16:01:02"/>
    <n v="115"/>
    <n v="3"/>
    <s v="NRNBGB2LSAV"/>
    <s v="GB"/>
    <s v="   "/>
    <n v="37424349"/>
    <n v="86064"/>
    <n v="19800"/>
    <s v="GBP"/>
    <n v="257099.81"/>
    <s v="Depo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21835144"/>
    <n v="121835144"/>
    <n v="121835144"/>
    <s v="GB88HAND40516270182418            "/>
    <s v="CURRENT ACCOUNT                                   "/>
  </r>
  <r>
    <n v="41504243948"/>
    <s v="C7 "/>
    <x v="23"/>
    <n v="41504243948"/>
    <d v="2026-08-04T15:24:32"/>
    <n v="115"/>
    <n v="3"/>
    <s v="SRLGGB2LXXX"/>
    <s v="GB"/>
    <s v="   "/>
    <n v="88697098"/>
    <n v="608371"/>
    <n v="11990"/>
    <s v="GBP"/>
    <n v="155688.18"/>
    <s v="M Magna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15335648"/>
    <n v="115335648"/>
    <n v="115335648"/>
    <s v="GB96HAND40516280521019            "/>
    <s v="CURRENT ACCOUNT                                   "/>
  </r>
  <r>
    <n v="41504240618"/>
    <s v="C7 "/>
    <x v="23"/>
    <n v="41504240618"/>
    <d v="2026-08-04T15:22:42"/>
    <n v="115"/>
    <n v="3"/>
    <s v="MYMBGB2LXXX"/>
    <s v="GB"/>
    <s v="   "/>
    <n v="43082167"/>
    <n v="230580"/>
    <n v="100000"/>
    <s v="GBP"/>
    <n v="1298483.98"/>
    <s v="3 Aug TF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30575269"/>
    <n v="130575269"/>
    <n v="130575269"/>
    <s v="GB16HAND40516235260319            "/>
    <s v="CURRENT ACCOUNT                                   "/>
  </r>
  <r>
    <n v="41504028902"/>
    <s v="C7 "/>
    <x v="23"/>
    <n v="41504028902"/>
    <d v="2026-08-04T13:35:11"/>
    <n v="115"/>
    <n v="3"/>
    <s v="           "/>
    <s v="GB"/>
    <s v="   "/>
    <n v="18282827"/>
    <n v="980420"/>
    <n v="15000"/>
    <s v="GBP"/>
    <n v="194772.56"/>
    <s v="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44653623"/>
    <n v="144653623"/>
    <n v="144653623"/>
    <s v="GB21HAND40516247379215            "/>
    <s v="CURRENT ACCOUNT                                   "/>
  </r>
  <r>
    <n v="41503800019"/>
    <s v="C7 "/>
    <x v="23"/>
    <n v="41503800019"/>
    <d v="2026-08-04T11:38:25"/>
    <n v="69"/>
    <n v="3"/>
    <s v="           "/>
    <s v="GB"/>
    <s v="   "/>
    <n v="81641316"/>
    <n v="406437"/>
    <n v="199999"/>
    <s v="GBP"/>
    <n v="2596955.0299999998"/>
    <s v="Judith War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6807926"/>
    <n v="116807926"/>
    <n v="116807926"/>
    <s v="GB98HAND40516244746704            "/>
    <s v="CURRENT ACCOUNT                                   "/>
  </r>
  <r>
    <n v="41506175931"/>
    <s v="C7 "/>
    <x v="23"/>
    <n v="41506175931"/>
    <d v="2026-08-05T19:14:31"/>
    <n v="115"/>
    <n v="3"/>
    <s v="HOABGB2LXXX"/>
    <s v="GB"/>
    <s v="   "/>
    <n v="80166232"/>
    <n v="159900"/>
    <n v="100000"/>
    <s v="GBP"/>
    <n v="1298483.98"/>
    <s v=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7953069"/>
    <n v="107953069"/>
    <n v="107953069"/>
    <s v="GB75HAND40516243001700            "/>
    <s v="DEPOSIT ACCOUNT                                   "/>
  </r>
  <r>
    <n v="41506176989"/>
    <s v="C7 "/>
    <x v="23"/>
    <n v="41506176989"/>
    <d v="2026-08-05T19:15:11"/>
    <n v="115"/>
    <n v="3"/>
    <s v="HOABGB2LXXX"/>
    <s v="GB"/>
    <s v="   "/>
    <n v="80166232"/>
    <n v="159900"/>
    <n v="100000"/>
    <s v="GBP"/>
    <n v="1298483.98"/>
    <s v=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7953069"/>
    <n v="107953069"/>
    <n v="107953069"/>
    <s v="GB75HAND40516243001700            "/>
    <s v="DEPOSIT ACCOUNT                                   "/>
  </r>
  <r>
    <n v="41505307253"/>
    <s v="C7 "/>
    <x v="23"/>
    <n v="41505307253"/>
    <d v="2026-08-05T11:20:04"/>
    <n v="115"/>
    <n v="3"/>
    <s v="           "/>
    <s v="GB"/>
    <s v="   "/>
    <n v="73125724"/>
    <n v="406437"/>
    <n v="20000"/>
    <s v="GBP"/>
    <n v="259696.78"/>
    <s v="4.6 INTERE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37636890"/>
    <n v="137636890"/>
    <n v="137636890"/>
    <s v="GB77HAND40516220490971            "/>
    <s v="CURRENT ACCOUNT                                   "/>
  </r>
  <r>
    <n v="41505261918"/>
    <s v="C7 "/>
    <x v="23"/>
    <n v="41505261918"/>
    <d v="2026-08-05T10:55:33"/>
    <n v="69"/>
    <n v="3"/>
    <s v="LOYDGB21137"/>
    <s v="GB"/>
    <s v="   "/>
    <n v="12517060"/>
    <n v="309493"/>
    <n v="1999000"/>
    <s v="GBP"/>
    <n v="25956695.010000002"/>
    <s v=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88738513"/>
    <n v="88738513"/>
    <n v="88738513"/>
    <s v="GB12HAND40516238616979            "/>
    <s v="DEPOSIT ACCOUNT                                   "/>
  </r>
  <r>
    <n v="41505232361"/>
    <s v="C7 "/>
    <x v="23"/>
    <n v="41505232361"/>
    <d v="2026-08-05T10:39:32"/>
    <n v="69"/>
    <n v="3"/>
    <s v="NWBKGB2135J"/>
    <s v="GB"/>
    <s v="   "/>
    <n v="67752705"/>
    <n v="536123"/>
    <n v="125000"/>
    <s v="GBP"/>
    <n v="1623104.98"/>
    <s v="Loan PA AM Barrat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5992786"/>
    <n v="115992786"/>
    <n v="115992786"/>
    <s v="GB20HAND40516224577928            "/>
    <s v="CURRENT ACCOUNT                                   "/>
  </r>
  <r>
    <n v="41505066348"/>
    <s v="C7 "/>
    <x v="23"/>
    <n v="41505066348"/>
    <d v="2026-08-05T08:39:38"/>
    <n v="115"/>
    <n v="3"/>
    <s v="           "/>
    <s v="GB"/>
    <s v="   "/>
    <n v="18282827"/>
    <n v="980420"/>
    <n v="17495"/>
    <s v="GBP"/>
    <n v="227169.75"/>
    <s v="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44653623"/>
    <n v="144653623"/>
    <n v="144653623"/>
    <s v="GB21HAND40516247379215            "/>
    <s v="CURRENT ACCOUNT                                   "/>
  </r>
  <r>
    <n v="41507644990"/>
    <s v="C7 "/>
    <x v="23"/>
    <n v="41507644990"/>
    <d v="2026-08-06T18:21:54"/>
    <n v="115"/>
    <n v="3"/>
    <s v="           "/>
    <s v="GB"/>
    <s v="   "/>
    <n v="70663619"/>
    <n v="609204"/>
    <n v="19990"/>
    <s v="GBP"/>
    <n v="259566.93"/>
    <s v="70663619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92008465"/>
    <n v="92008465"/>
    <n v="92008465"/>
    <s v="GB56HAND40516262161191            "/>
    <s v="CURRENT ACCOUNT                                   "/>
  </r>
  <r>
    <n v="41507542452"/>
    <s v="C6 "/>
    <x v="23"/>
    <n v="41507542452"/>
    <d v="2026-08-06T17:22:33"/>
    <n v="115"/>
    <n v="3"/>
    <s v="           "/>
    <s v="GB"/>
    <s v="   "/>
    <n v="83770192"/>
    <n v="203964"/>
    <n v="99000"/>
    <s v="GBP"/>
    <n v="1285499.1399999999"/>
    <s v="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1831293"/>
    <n v="111831293"/>
    <n v="111831293"/>
    <s v="GB67HAND40516254747962            "/>
    <s v="CURRENT ACCOUNT                                   "/>
  </r>
  <r>
    <n v="41507370412"/>
    <s v="C7 "/>
    <x v="23"/>
    <n v="41507370412"/>
    <d v="2026-08-06T15:48:39"/>
    <n v="69"/>
    <n v="3"/>
    <s v="NWBKGB2113S"/>
    <s v="GB"/>
    <s v="   "/>
    <n v="94457662"/>
    <n v="10541"/>
    <n v="131250"/>
    <s v="GBP"/>
    <n v="1704260.23"/>
    <s v="emmerson heritan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3220075"/>
    <n v="103220075"/>
    <n v="103220075"/>
    <s v="GB96HAND40516263169562            "/>
    <s v="CURRENT ACCOUNT                                   "/>
  </r>
  <r>
    <n v="41506963348"/>
    <s v="C7 "/>
    <x v="23"/>
    <n v="41506963348"/>
    <d v="2026-08-06T12:23:50"/>
    <n v="115"/>
    <n v="3"/>
    <s v="           "/>
    <s v="GB"/>
    <s v="   "/>
    <n v="24289144"/>
    <n v="70246"/>
    <n v="10000"/>
    <s v="GBP"/>
    <n v="129848.44"/>
    <s v="equipm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2720141"/>
    <n v="102720141"/>
    <n v="102720141"/>
    <s v="GB14HAND40516238374346            "/>
    <s v="CURRENT ACCOUNT                                   "/>
  </r>
  <r>
    <n v="41506990571"/>
    <s v="C7 "/>
    <x v="23"/>
    <n v="41506990571"/>
    <d v="2026-08-06T12:36:42"/>
    <n v="115"/>
    <n v="3"/>
    <s v="HBUKGB4108H"/>
    <s v="GB"/>
    <s v="   "/>
    <n v="71719882"/>
    <n v="403412"/>
    <n v="12603.4"/>
    <s v="GBP"/>
    <n v="163653.15"/>
    <s v="C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11842779"/>
    <n v="111842779"/>
    <n v="111842779"/>
    <s v="GB86HAND40516236474469            "/>
    <s v="JNT CUR ACCT NO2                                  "/>
  </r>
  <r>
    <n v="41506645860"/>
    <s v="C7 "/>
    <x v="23"/>
    <n v="41506645860"/>
    <d v="2026-08-06T09:19:37"/>
    <n v="115"/>
    <n v="3"/>
    <s v="HBUKGB4109M"/>
    <s v="GB"/>
    <s v="   "/>
    <n v="11729470"/>
    <n v="404519"/>
    <n v="14000"/>
    <s v="GBP"/>
    <n v="181787.72"/>
    <s v="Grantches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1775979"/>
    <n v="111775979"/>
    <n v="111775979"/>
    <s v="GB49HAND40516228545967            "/>
    <s v="CURRENT ACCOUNT                                   "/>
  </r>
  <r>
    <n v="41506604141"/>
    <s v="C7 "/>
    <x v="23"/>
    <n v="41506604141"/>
    <d v="2026-08-06T08:42:57"/>
    <n v="115"/>
    <n v="3"/>
    <s v="           "/>
    <s v="GB"/>
    <s v="   "/>
    <n v="18406146"/>
    <n v="406369"/>
    <n v="40000"/>
    <s v="GBP"/>
    <n v="519393.55"/>
    <s v="FLAT 17 THE GRAN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3231211"/>
    <n v="113231211"/>
    <n v="113231211"/>
    <s v="GB11HAND40516222592112            "/>
    <s v="CURRENT ACCOUNT                                   "/>
  </r>
  <r>
    <n v="41506612587"/>
    <s v="C6 "/>
    <x v="23"/>
    <n v="41506612587"/>
    <d v="2026-08-06T08:50:04"/>
    <n v="115"/>
    <n v="3"/>
    <s v="           "/>
    <s v="GB"/>
    <s v="   "/>
    <n v="83280502"/>
    <n v="230120"/>
    <n v="10000"/>
    <s v="GBP"/>
    <n v="129848.44"/>
    <s v="Saving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41378075"/>
    <n v="141378075"/>
    <n v="141378075"/>
    <s v="GB62HAND40516249733637            "/>
    <s v="CURRENT ACCOUNT                                   "/>
  </r>
  <r>
    <n v="41509375121"/>
    <s v="C6 "/>
    <x v="23"/>
    <n v="41509375121"/>
    <d v="2026-08-07T19:50:11"/>
    <n v="115"/>
    <n v="3"/>
    <s v="           "/>
    <s v="GB"/>
    <s v="   "/>
    <n v="93108627"/>
    <n v="206518"/>
    <n v="30000"/>
    <s v="GBP"/>
    <n v="389545.21"/>
    <s v="SH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0890316"/>
    <n v="110890316"/>
    <n v="110890316"/>
    <s v="GB39HAND40516255068663            "/>
    <s v="CURRENT ACCOUNT                                   "/>
  </r>
  <r>
    <n v="41509275856"/>
    <s v="C7 "/>
    <x v="23"/>
    <n v="41509275856"/>
    <d v="2026-08-07T18:38:58"/>
    <n v="115"/>
    <n v="3"/>
    <s v="TRWIGB2LXXX"/>
    <s v="GB"/>
    <s v="   "/>
    <n v="54560668"/>
    <n v="231470"/>
    <n v="10000"/>
    <s v="GBP"/>
    <n v="129848.44"/>
    <s v="HGM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5390674"/>
    <n v="125390674"/>
    <n v="125390674"/>
    <s v="GB89HAND40516235052201            "/>
    <s v="CURRENT ACCOUNT                                   "/>
  </r>
  <r>
    <n v="41508798982"/>
    <s v="C7 "/>
    <x v="23"/>
    <n v="41508798982"/>
    <d v="2026-08-07T14:23:03"/>
    <n v="115"/>
    <n v="3"/>
    <s v="           "/>
    <s v="GB"/>
    <s v="   "/>
    <n v="68423381"/>
    <n v="40004"/>
    <n v="13200"/>
    <s v="GBP"/>
    <n v="171399.84"/>
    <s v="Jacob Monz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99706335"/>
    <n v="99706335"/>
    <n v="99706335"/>
    <s v="GB53HAND40516251234001            "/>
    <s v="CURRENT ACCOUNT                                   "/>
  </r>
  <r>
    <n v="41508714421"/>
    <s v="C7 "/>
    <x v="23"/>
    <n v="41508714421"/>
    <d v="2026-08-07T13:40:30"/>
    <n v="115"/>
    <n v="3"/>
    <s v="           "/>
    <s v="GB"/>
    <s v="   "/>
    <n v="83770192"/>
    <n v="203964"/>
    <n v="99000"/>
    <s v="GBP"/>
    <n v="1285499.1399999999"/>
    <s v="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1831293"/>
    <n v="111831293"/>
    <n v="111831293"/>
    <s v="GB67HAND40516254747962            "/>
    <s v="CURRENT ACCOUNT                                   "/>
  </r>
  <r>
    <n v="41508569084"/>
    <s v="C7 "/>
    <x v="23"/>
    <n v="41508569084"/>
    <d v="2026-08-07T12:36:17"/>
    <n v="115"/>
    <n v="3"/>
    <s v="           "/>
    <s v="GB"/>
    <s v="   "/>
    <n v="90673684"/>
    <n v="204451"/>
    <n v="49999"/>
    <s v="GBP"/>
    <n v="649229.06000000006"/>
    <s v="LF 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5002978"/>
    <n v="145002978"/>
    <n v="145002978"/>
    <s v="GB26HAND40516228562774            "/>
    <s v="CURRENT ACCOUNT                                   "/>
  </r>
  <r>
    <n v="41512058559"/>
    <s v="C7 "/>
    <x v="23"/>
    <n v="41512058559"/>
    <d v="2026-08-09T20:01:52"/>
    <n v="115"/>
    <n v="3"/>
    <s v="           "/>
    <s v="GB"/>
    <s v="   "/>
    <n v="48042380"/>
    <n v="70116"/>
    <n v="53295"/>
    <s v="GBP"/>
    <n v="692027.05"/>
    <s v="Lucy Nationwi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207073"/>
    <n v="128207073"/>
    <n v="128207073"/>
    <s v="GB95HAND40516238565627            "/>
    <s v="JOINT DEPOSIT ACCOUNT                             "/>
  </r>
  <r>
    <n v="41447679199"/>
    <s v="C7 "/>
    <x v="24"/>
    <n v="41447679199"/>
    <d v="2026-07-01T16:13:02"/>
    <n v="115"/>
    <n v="3"/>
    <s v="           "/>
    <s v="GB"/>
    <s v="   "/>
    <n v="9204083"/>
    <n v="40075"/>
    <n v="50000"/>
    <s v="GBP"/>
    <n v="643235.32999999996"/>
    <s v="Tfr Hdlsb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2592674"/>
    <n v="142592674"/>
    <n v="142592674"/>
    <s v="GB31HAND40516237199079            "/>
    <s v="DEPOSIT ACCOUNT                                   "/>
  </r>
  <r>
    <n v="41446946687"/>
    <s v="C7 "/>
    <x v="24"/>
    <n v="41446946687"/>
    <d v="2026-07-01T10:43:15"/>
    <n v="69"/>
    <n v="3"/>
    <s v="           "/>
    <s v="GB"/>
    <s v="   "/>
    <n v="80432571"/>
    <n v="200771"/>
    <n v="320000"/>
    <s v="GBP"/>
    <n v="4116705.96"/>
    <s v="pay back of 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88738513"/>
    <n v="88738513"/>
    <n v="88738513"/>
    <s v="GB12HAND40516238616979            "/>
    <s v="DEPOSIT ACCOUNT                                   "/>
  </r>
  <r>
    <n v="41446939640"/>
    <s v="C7 "/>
    <x v="24"/>
    <n v="41446939640"/>
    <d v="2026-07-01T10:39:16"/>
    <n v="69"/>
    <n v="3"/>
    <s v="           "/>
    <s v="GB"/>
    <s v="   "/>
    <n v="80432571"/>
    <n v="200771"/>
    <n v="1500000"/>
    <s v="GBP"/>
    <n v="19297059.140000001"/>
    <s v="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88738513"/>
    <n v="88738513"/>
    <n v="88738513"/>
    <s v="GB12HAND40516238616979            "/>
    <s v="DEPOSIT ACCOUNT                                   "/>
  </r>
  <r>
    <n v="41449900442"/>
    <s v="C7 "/>
    <x v="24"/>
    <n v="41449900442"/>
    <d v="2026-07-02T19:46:20"/>
    <n v="115"/>
    <n v="3"/>
    <s v="           "/>
    <s v="GB"/>
    <s v="   "/>
    <n v="50604895"/>
    <n v="204673"/>
    <n v="25000"/>
    <s v="GBP"/>
    <n v="322637.40999999997"/>
    <s v="klander hande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8159213"/>
    <n v="148159213"/>
    <n v="148159213"/>
    <s v="GB28HAND40516224592140            "/>
    <s v="CURRENT ACCOUNT                                   "/>
  </r>
  <r>
    <n v="41449578507"/>
    <s v="C7 "/>
    <x v="24"/>
    <n v="41449578507"/>
    <d v="2026-07-02T16:50:44"/>
    <n v="115"/>
    <n v="3"/>
    <s v="           "/>
    <s v="GB"/>
    <s v="   "/>
    <n v="61658919"/>
    <n v="406437"/>
    <n v="90000"/>
    <s v="GBP"/>
    <n v="1161494.57"/>
    <s v="Vi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86816444"/>
    <n v="86816444"/>
    <n v="86816444"/>
    <s v="GB35HAND40516249169001            "/>
    <s v="CURRENT ACCOUNT                                   "/>
  </r>
  <r>
    <n v="41449008948"/>
    <s v="C7 "/>
    <x v="24"/>
    <n v="41449008948"/>
    <d v="2026-07-02T12:34:00"/>
    <n v="69"/>
    <n v="3"/>
    <s v="           "/>
    <s v="GB"/>
    <s v="   "/>
    <n v="9204083"/>
    <n v="40075"/>
    <n v="340000"/>
    <s v="GBP"/>
    <n v="4387868.55"/>
    <s v="Tfr Hdlsb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2592674"/>
    <n v="142592674"/>
    <n v="142592674"/>
    <s v="GB31HAND40516237199079            "/>
    <s v="DEPOSIT ACCOUNT                                   "/>
  </r>
  <r>
    <n v="41448593472"/>
    <s v="C6 "/>
    <x v="24"/>
    <n v="41448593472"/>
    <d v="2026-07-02T08:58:23"/>
    <n v="115"/>
    <n v="3"/>
    <s v="           "/>
    <s v="GB"/>
    <s v="   "/>
    <n v="9204083"/>
    <n v="40075"/>
    <n v="50000"/>
    <s v="GBP"/>
    <n v="645274.81999999995"/>
    <s v="Tfr Hdlsb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2592674"/>
    <n v="142592674"/>
    <n v="142592674"/>
    <s v="GB31HAND40516237199079            "/>
    <s v="DEPOSIT ACCOUNT                                   "/>
  </r>
  <r>
    <n v="41451347753"/>
    <s v="C6 "/>
    <x v="24"/>
    <n v="41451347753"/>
    <d v="2026-07-03T16:20:08"/>
    <n v="115"/>
    <n v="3"/>
    <s v="           "/>
    <s v="GB"/>
    <s v="   "/>
    <n v="16281625"/>
    <n v="608407"/>
    <n v="100000"/>
    <s v="GBP"/>
    <n v="1290549.53"/>
    <s v="depo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533080"/>
    <n v="128533080"/>
    <n v="128533080"/>
    <s v="GB42HAND40516287347008            "/>
    <s v="CURRENT ACCOUNT MORTGAGE                          "/>
  </r>
  <r>
    <n v="41451344908"/>
    <s v="C7 "/>
    <x v="24"/>
    <n v="41451344908"/>
    <d v="2026-07-03T16:18:56"/>
    <n v="115"/>
    <n v="3"/>
    <s v="           "/>
    <s v="GB"/>
    <s v="   "/>
    <n v="16281625"/>
    <n v="608407"/>
    <n v="100000"/>
    <s v="GBP"/>
    <n v="1290549.53"/>
    <s v="depo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533080"/>
    <n v="128533080"/>
    <n v="128533080"/>
    <s v="GB42HAND40516287347008            "/>
    <s v="CURRENT ACCOUNT MORTGAGE                          "/>
  </r>
  <r>
    <n v="41451349515"/>
    <s v="C6 "/>
    <x v="24"/>
    <n v="41451349515"/>
    <d v="2026-07-03T16:20:59"/>
    <n v="115"/>
    <n v="3"/>
    <s v="           "/>
    <s v="GB"/>
    <s v="   "/>
    <n v="16281625"/>
    <n v="608407"/>
    <n v="50000"/>
    <s v="GBP"/>
    <n v="645274.81999999995"/>
    <s v="depo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533080"/>
    <n v="128533080"/>
    <n v="128533080"/>
    <s v="GB42HAND40516287347008            "/>
    <s v="CURRENT ACCOUNT MORTGAGE                          "/>
  </r>
  <r>
    <n v="41450795129"/>
    <s v="C6 "/>
    <x v="24"/>
    <n v="41450795129"/>
    <d v="2026-07-03T12:23:56"/>
    <n v="115"/>
    <n v="3"/>
    <s v="SMIWGB2LXXX"/>
    <s v="GB"/>
    <s v="   "/>
    <n v="54606"/>
    <n v="165760"/>
    <n v="25000"/>
    <s v="GBP"/>
    <n v="322637.40999999997"/>
    <s v="Polly Evelyn Gif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2909595"/>
    <n v="102909595"/>
    <n v="102909595"/>
    <s v="GB59HAND40516222636256            "/>
    <s v="CURRENT ACCOUNT                                   "/>
  </r>
  <r>
    <n v="41450493081"/>
    <s v="C7 "/>
    <x v="24"/>
    <n v="41450493081"/>
    <d v="2026-07-03T09:56:46"/>
    <n v="115"/>
    <n v="3"/>
    <s v="SMIWGB2LXXX"/>
    <s v="GB"/>
    <s v="   "/>
    <n v="54606"/>
    <n v="165760"/>
    <n v="100000"/>
    <s v="GBP"/>
    <n v="1290549.53"/>
    <s v="Polly Evelyn Gif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2909595"/>
    <n v="102909595"/>
    <n v="102909595"/>
    <s v="GB59HAND40516222636256            "/>
    <s v="CURRENT ACCOUNT                                   "/>
  </r>
  <r>
    <n v="41450490464"/>
    <s v="C7 "/>
    <x v="24"/>
    <n v="41450490464"/>
    <d v="2026-07-03T09:55:04"/>
    <n v="115"/>
    <n v="3"/>
    <s v="SMIWGB2LXXX"/>
    <s v="GB"/>
    <s v="   "/>
    <n v="54606"/>
    <n v="165760"/>
    <n v="100000"/>
    <s v="GBP"/>
    <n v="1290549.53"/>
    <s v="Polly Evelyn Gif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2909595"/>
    <n v="102909595"/>
    <n v="102909595"/>
    <s v="GB59HAND40516222636256            "/>
    <s v="CURRENT ACCOUNT                                   "/>
  </r>
  <r>
    <n v="41450496287"/>
    <s v="C6 "/>
    <x v="24"/>
    <n v="41450496287"/>
    <d v="2026-07-03T09:58:23"/>
    <n v="115"/>
    <n v="3"/>
    <s v="SMIWGB2LXXX"/>
    <s v="GB"/>
    <s v="   "/>
    <n v="54606"/>
    <n v="165760"/>
    <n v="25000"/>
    <s v="GBP"/>
    <n v="322637.40999999997"/>
    <s v="Polly Evelyn Gif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2909595"/>
    <n v="102909595"/>
    <n v="102909595"/>
    <s v="GB59HAND40516222636256            "/>
    <s v="CURRENT ACCOUNT                                   "/>
  </r>
  <r>
    <n v="41452226654"/>
    <s v="C6 "/>
    <x v="24"/>
    <n v="41452226654"/>
    <d v="2026-07-04T10:31:13"/>
    <n v="115"/>
    <n v="3"/>
    <s v="           "/>
    <s v="GB"/>
    <s v="   "/>
    <n v="16281625"/>
    <n v="608407"/>
    <n v="100000"/>
    <s v="GBP"/>
    <n v="1290549.53"/>
    <s v="depo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533080"/>
    <n v="128533080"/>
    <n v="128533080"/>
    <s v="GB42HAND40516287347008            "/>
    <s v="CURRENT ACCOUNT MORTGAGE                          "/>
  </r>
  <r>
    <n v="41456137866"/>
    <s v="C7 "/>
    <x v="24"/>
    <n v="41456137866"/>
    <d v="2026-07-06T19:04:05"/>
    <n v="115"/>
    <n v="3"/>
    <s v="           "/>
    <s v="GB"/>
    <s v="   "/>
    <n v="50254528"/>
    <n v="41333"/>
    <n v="60000"/>
    <s v="GBP"/>
    <n v="774329.78"/>
    <s v="Savings ThisBa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4795784"/>
    <n v="114795784"/>
    <n v="114795784"/>
    <s v="GB64HAND40516240139622            "/>
    <s v="DEPOSIT ACCOUNT                                   "/>
  </r>
  <r>
    <n v="41455493035"/>
    <s v="C7 "/>
    <x v="24"/>
    <n v="41455493035"/>
    <d v="2026-07-06T13:38:08"/>
    <n v="115"/>
    <n v="3"/>
    <s v="           "/>
    <s v="GB"/>
    <s v="   "/>
    <n v="54008774"/>
    <n v="90643"/>
    <n v="50000"/>
    <s v="GBP"/>
    <n v="645274.81999999995"/>
    <s v="Savings (Cahoot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0919394"/>
    <n v="120919394"/>
    <n v="120919394"/>
    <s v="GB42HAND40516212423723            "/>
    <s v="CURRENT ACCOUNT                                   "/>
  </r>
  <r>
    <n v="41457559096"/>
    <s v="C7 "/>
    <x v="24"/>
    <n v="41457559096"/>
    <d v="2026-07-07T16:38:04"/>
    <n v="115"/>
    <n v="3"/>
    <s v="           "/>
    <s v="GB"/>
    <s v="   "/>
    <n v="50254528"/>
    <n v="41333"/>
    <n v="80000"/>
    <s v="GBP"/>
    <n v="1032439.7"/>
    <s v="Savings ThisBa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4795784"/>
    <n v="114795784"/>
    <n v="114795784"/>
    <s v="GB64HAND40516240139622            "/>
    <s v="DEPOSIT ACCOUNT                                   "/>
  </r>
  <r>
    <n v="41456899665"/>
    <s v="C7 "/>
    <x v="24"/>
    <n v="41456899665"/>
    <d v="2026-07-07T11:27:28"/>
    <n v="115"/>
    <n v="3"/>
    <s v="           "/>
    <s v="GB"/>
    <s v="   "/>
    <n v="85532110"/>
    <n v="608407"/>
    <n v="55000"/>
    <s v="GBP"/>
    <n v="709802.3"/>
    <s v="Patek Singap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3478273"/>
    <n v="123478273"/>
    <n v="123478273"/>
    <s v="GB86HAND40516229778656            "/>
    <s v="CURRENT ACCOUNT                                   "/>
  </r>
  <r>
    <n v="41456954979"/>
    <s v="C6 "/>
    <x v="24"/>
    <n v="41456954979"/>
    <d v="2026-07-07T11:54:22"/>
    <n v="115"/>
    <n v="3"/>
    <s v="           "/>
    <s v="GB"/>
    <s v="   "/>
    <n v="50254528"/>
    <n v="41333"/>
    <n v="80000"/>
    <s v="GBP"/>
    <n v="1032439.7"/>
    <s v="Savings ThisBa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4795784"/>
    <n v="114795784"/>
    <n v="114795784"/>
    <s v="GB64HAND40516240139622            "/>
    <s v="DEPOSIT ACCOUNT                                   "/>
  </r>
  <r>
    <n v="41459674249"/>
    <s v="C7 "/>
    <x v="24"/>
    <n v="41459674249"/>
    <d v="2026-07-08T21:44:36"/>
    <n v="115"/>
    <n v="3"/>
    <s v="LOYDGB21F45"/>
    <s v="GB"/>
    <s v="   "/>
    <n v="1362320"/>
    <n v="304067"/>
    <n v="20000"/>
    <s v="GBP"/>
    <n v="258109.93"/>
    <s v="EM1584363-0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5716052"/>
    <n v="115716052"/>
    <n v="115716052"/>
    <s v="GB39HAND40516275776999            "/>
    <s v="MR &amp; MRS A R WOOD HOUSE ACCOUNT                   "/>
  </r>
  <r>
    <n v="41458164248"/>
    <s v="C7 "/>
    <x v="24"/>
    <n v="41458164248"/>
    <d v="2026-07-08T01:16:08"/>
    <n v="115"/>
    <n v="3"/>
    <s v="YORKGB21200"/>
    <s v="GB"/>
    <s v="   "/>
    <n v="13389011"/>
    <n v="50200"/>
    <n v="50000"/>
    <s v="GBP"/>
    <n v="645274.81999999995"/>
    <s v="Directors 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5587352"/>
    <n v="125587352"/>
    <n v="125587352"/>
    <s v="GB98HAND40516267160882            "/>
    <s v="CURRENT ACCOUNT                                   "/>
  </r>
  <r>
    <n v="41458164138"/>
    <s v="C7 "/>
    <x v="24"/>
    <n v="41458164138"/>
    <d v="2026-07-08T01:16:07"/>
    <n v="115"/>
    <n v="3"/>
    <s v="YORKGB21200"/>
    <s v="GB"/>
    <s v="   "/>
    <n v="13389011"/>
    <n v="50200"/>
    <n v="35000"/>
    <s v="GBP"/>
    <n v="451692.37"/>
    <s v="Directors 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5587352"/>
    <n v="125587352"/>
    <n v="125587352"/>
    <s v="GB98HAND40516267160882            "/>
    <s v="CURRENT ACCOUNT                                   "/>
  </r>
  <r>
    <n v="41462850655"/>
    <s v="C6 "/>
    <x v="24"/>
    <n v="41462850655"/>
    <d v="2026-07-10T18:56:19"/>
    <n v="115"/>
    <n v="3"/>
    <s v="MIDLGB2196K"/>
    <s v="GB"/>
    <s v="   "/>
    <n v="10235121"/>
    <n v="403232"/>
    <n v="80000"/>
    <s v="GBP"/>
    <n v="1032439.7"/>
    <s v="PA273125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8525652"/>
    <n v="148525652"/>
    <n v="148525652"/>
    <s v="GB31HAND40516213470842            "/>
    <s v="CURRENT ACCOUNT                                   "/>
  </r>
  <r>
    <n v="41462835117"/>
    <s v="C7 "/>
    <x v="24"/>
    <n v="41462835117"/>
    <d v="2026-07-10T18:46:35"/>
    <n v="115"/>
    <n v="3"/>
    <s v="MIDLGB2196K"/>
    <s v="GB"/>
    <s v="   "/>
    <n v="10235121"/>
    <n v="403232"/>
    <n v="100000"/>
    <s v="GBP"/>
    <n v="1290549.53"/>
    <s v="PA273125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8525652"/>
    <n v="148525652"/>
    <n v="148525652"/>
    <s v="GB31HAND40516213470842            "/>
    <s v="CURRENT ACCOUNT                                   "/>
  </r>
  <r>
    <n v="41462839274"/>
    <s v="C7 "/>
    <x v="24"/>
    <n v="41462839274"/>
    <d v="2026-07-10T18:49:28"/>
    <n v="115"/>
    <n v="3"/>
    <s v="MIDLGB2196K"/>
    <s v="GB"/>
    <s v="   "/>
    <n v="10235121"/>
    <n v="403232"/>
    <n v="100000"/>
    <s v="GBP"/>
    <n v="1290549.53"/>
    <s v="PA273125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8525652"/>
    <n v="148525652"/>
    <n v="148525652"/>
    <s v="GB31HAND40516213470842            "/>
    <s v="CURRENT ACCOUNT                                   "/>
  </r>
  <r>
    <n v="41463745341"/>
    <s v="C6 "/>
    <x v="24"/>
    <n v="41463745341"/>
    <d v="2026-07-11T13:15:23"/>
    <n v="115"/>
    <n v="3"/>
    <s v="MIDLGB2196K"/>
    <s v="GB"/>
    <s v="   "/>
    <n v="10235121"/>
    <n v="403232"/>
    <n v="80000"/>
    <s v="GBP"/>
    <n v="1032439.7"/>
    <s v="PA273125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8525652"/>
    <n v="148525652"/>
    <n v="148525652"/>
    <s v="GB31HAND40516213470842            "/>
    <s v="CURRENT ACCOUNT                                   "/>
  </r>
  <r>
    <n v="41463610727"/>
    <s v="C6 "/>
    <x v="24"/>
    <n v="41463610727"/>
    <d v="2026-07-11T12:10:37"/>
    <n v="115"/>
    <n v="3"/>
    <s v="HBUKGB4153L"/>
    <s v="GB"/>
    <s v="   "/>
    <n v="51396080"/>
    <n v="404031"/>
    <n v="95000"/>
    <s v="GBP"/>
    <n v="1226022.05"/>
    <s v="GIFT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6573514"/>
    <n v="146573514"/>
    <n v="146573514"/>
    <s v="GB84HAND40516234456032            "/>
    <s v="DEPOSIT ACCOUNT                                   "/>
  </r>
  <r>
    <n v="41463606609"/>
    <s v="C6 "/>
    <x v="24"/>
    <n v="41463606609"/>
    <d v="2026-07-11T12:08:46"/>
    <n v="115"/>
    <n v="3"/>
    <s v="NWBKGB2118W"/>
    <s v="GB"/>
    <s v="   "/>
    <n v="57317232"/>
    <n v="555010"/>
    <n v="100000"/>
    <s v="GBP"/>
    <n v="1290549.53"/>
    <s v="GIFT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6573514"/>
    <n v="146573514"/>
    <n v="146573514"/>
    <s v="GB84HAND40516234456032            "/>
    <s v="DEPOSIT ACCOUNT                                   "/>
  </r>
  <r>
    <n v="41463253599"/>
    <s v="C7 "/>
    <x v="24"/>
    <n v="41463253599"/>
    <d v="2026-07-11T07:01:03"/>
    <n v="115"/>
    <n v="3"/>
    <s v="           "/>
    <s v="GB"/>
    <s v="   "/>
    <n v="70368032"/>
    <n v="165873"/>
    <n v="100000"/>
    <s v="GBP"/>
    <n v="1290549.53"/>
    <s v="Saving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1421915"/>
    <n v="101421915"/>
    <n v="101421915"/>
    <s v="GB16HAND40516253720001            "/>
    <s v="CURRENT ACCOUNT                                   "/>
  </r>
  <r>
    <n v="41466468310"/>
    <s v="C7 "/>
    <x v="24"/>
    <n v="41466468310"/>
    <d v="2026-07-13T13:28:22"/>
    <n v="115"/>
    <n v="3"/>
    <s v="MYMBGB2LXXX"/>
    <s v="GB"/>
    <s v="   "/>
    <n v="58219401"/>
    <n v="230580"/>
    <n v="41000"/>
    <s v="GBP"/>
    <n v="529125.35"/>
    <s v="Funds Transfer 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35057461"/>
    <n v="135057461"/>
    <n v="135057461"/>
    <s v="GB87HAND40516238666845            "/>
    <s v="DEPOSIT ACCOUNT                                   "/>
  </r>
  <r>
    <n v="41467610090"/>
    <s v="C7 "/>
    <x v="24"/>
    <n v="41467610090"/>
    <d v="2026-07-14T10:17:52"/>
    <n v="115"/>
    <n v="3"/>
    <s v="HBUKGB4196B"/>
    <s v="GB"/>
    <s v="   "/>
    <n v="22050994"/>
    <n v="401262"/>
    <n v="10000"/>
    <s v="GBP"/>
    <n v="129054.96"/>
    <s v="JB Maisi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09609511"/>
    <n v="109609511"/>
    <n v="109609511"/>
    <s v="GB18HAND40516257851874            "/>
    <s v="DEPOSIT ACCOUNT                                   "/>
  </r>
  <r>
    <n v="41474001223"/>
    <s v="C8 "/>
    <x v="24"/>
    <n v="41474001223"/>
    <d v="2026-07-17T18:46:35"/>
    <n v="69"/>
    <n v="3"/>
    <s v="RBOSGB21528"/>
    <s v="GB"/>
    <s v="   "/>
    <n v="10030747"/>
    <n v="161923"/>
    <n v="250000"/>
    <s v="GBP"/>
    <n v="3226373.98"/>
    <s v="DH to DDJ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7560732"/>
    <n v="107560732"/>
    <n v="107560732"/>
    <s v="GB94HAND40516269781991            "/>
    <s v="CURRENT ACCOUNT                                   "/>
  </r>
  <r>
    <n v="41480028554"/>
    <s v="C7 "/>
    <x v="24"/>
    <n v="41480028554"/>
    <d v="2026-07-21T18:00:52"/>
    <n v="115"/>
    <n v="3"/>
    <s v="           "/>
    <s v="GB"/>
    <s v="   "/>
    <n v="58200138"/>
    <n v="608407"/>
    <n v="50000"/>
    <s v="GBP"/>
    <n v="649241.99"/>
    <s v="House gift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5353056"/>
    <n v="105353056"/>
    <n v="105353056"/>
    <s v="GB17HAND40516217711061            "/>
    <s v="CURRENT ACCOUNT                                   "/>
  </r>
  <r>
    <n v="41479581129"/>
    <s v="C7 "/>
    <x v="24"/>
    <n v="41479581129"/>
    <d v="2026-07-21T14:09:31"/>
    <n v="69"/>
    <n v="3"/>
    <s v="           "/>
    <s v="GB"/>
    <s v="   "/>
    <n v="31682626"/>
    <n v="40075"/>
    <n v="1280000"/>
    <s v="GBP"/>
    <n v="16620595.1"/>
    <s v="Rasm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3290936"/>
    <n v="113290936"/>
    <n v="113290936"/>
    <s v="GB23HAND40516265532535            "/>
    <s v="CURRENT ACCOUNT                                   "/>
  </r>
  <r>
    <n v="41483437207"/>
    <s v="C7 "/>
    <x v="24"/>
    <n v="41483437207"/>
    <d v="2026-07-23T18:46:06"/>
    <n v="115"/>
    <n v="3"/>
    <s v="           "/>
    <s v="GB"/>
    <s v="   "/>
    <n v="54088624"/>
    <n v="90643"/>
    <n v="75000"/>
    <s v="GBP"/>
    <n v="973862.99"/>
    <s v="Transfer HB to 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8965344"/>
    <n v="108965344"/>
    <n v="108965344"/>
    <s v="GB15HAND40516215695922            "/>
    <s v="CURRENT ACCOUNT                                   "/>
  </r>
  <r>
    <n v="41483254891"/>
    <s v="C7 "/>
    <x v="24"/>
    <n v="41483254891"/>
    <d v="2026-07-23T17:32:42"/>
    <n v="115"/>
    <n v="3"/>
    <s v="           "/>
    <s v="GB"/>
    <s v="   "/>
    <n v="73114139"/>
    <n v="406437"/>
    <n v="100000"/>
    <s v="GBP"/>
    <n v="1298483.98"/>
    <s v="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9228773"/>
    <n v="119228773"/>
    <n v="119228773"/>
    <s v="GB89HAND40516214461623            "/>
    <s v="DEPOSIT ACCOUNT                                   "/>
  </r>
  <r>
    <n v="41483063386"/>
    <s v="C6 "/>
    <x v="24"/>
    <n v="41483063386"/>
    <d v="2026-07-23T15:53:26"/>
    <n v="115"/>
    <n v="3"/>
    <s v="           "/>
    <s v="GB"/>
    <s v="   "/>
    <n v="83372888"/>
    <n v="608407"/>
    <n v="80000"/>
    <s v="GBP"/>
    <n v="1038787.21"/>
    <s v="TVR payment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2720485"/>
    <n v="122720485"/>
    <n v="122720485"/>
    <s v="GB47HAND40516224759996            "/>
    <s v="CURRENT ACCOUNT                                   "/>
  </r>
  <r>
    <n v="41486224304"/>
    <s v="C6 "/>
    <x v="24"/>
    <n v="41486224304"/>
    <d v="2026-07-24T20:35:21"/>
    <n v="115"/>
    <n v="3"/>
    <s v="           "/>
    <s v="GB"/>
    <s v="   "/>
    <n v="26180505"/>
    <n v="608407"/>
    <n v="100000"/>
    <s v="GBP"/>
    <n v="1298483.98"/>
    <s v="Chase AC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86216916"/>
    <s v="C6 "/>
    <x v="24"/>
    <n v="41486216916"/>
    <d v="2026-07-24T20:30:36"/>
    <n v="115"/>
    <n v="3"/>
    <s v="           "/>
    <s v="GB"/>
    <s v="   "/>
    <n v="26180505"/>
    <n v="608407"/>
    <n v="100000"/>
    <s v="GBP"/>
    <n v="1298483.98"/>
    <s v="CHA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86213067"/>
    <s v="C6 "/>
    <x v="24"/>
    <n v="41486213067"/>
    <d v="2026-07-24T20:28:04"/>
    <n v="115"/>
    <n v="3"/>
    <s v="           "/>
    <s v="GB"/>
    <s v="   "/>
    <n v="26180505"/>
    <n v="608407"/>
    <n v="100000"/>
    <s v="GBP"/>
    <n v="1298483.98"/>
    <s v="CHA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86220957"/>
    <s v="C6 "/>
    <x v="24"/>
    <n v="41486220957"/>
    <d v="2026-07-24T20:33:07"/>
    <n v="115"/>
    <n v="3"/>
    <s v="           "/>
    <s v="GB"/>
    <s v="   "/>
    <n v="26180505"/>
    <n v="608407"/>
    <n v="100000"/>
    <s v="GBP"/>
    <n v="1298483.98"/>
    <s v="Chase AC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85691443"/>
    <s v="C7 "/>
    <x v="24"/>
    <n v="41485691443"/>
    <d v="2026-07-24T16:09:37"/>
    <n v="115"/>
    <n v="3"/>
    <s v="           "/>
    <s v="GB"/>
    <s v="   "/>
    <n v="81635056"/>
    <n v="406437"/>
    <n v="50000"/>
    <s v="GBP"/>
    <n v="649241.99"/>
    <s v="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1862155"/>
    <n v="121862155"/>
    <n v="121862155"/>
    <s v="GB90HAND40516238708986            "/>
    <s v="CURRENT ACCOUNT                                   "/>
  </r>
  <r>
    <n v="41488362553"/>
    <s v="C7 "/>
    <x v="24"/>
    <n v="41488362553"/>
    <d v="2026-07-26T10:03:23"/>
    <n v="115"/>
    <n v="3"/>
    <s v="           "/>
    <s v="GB"/>
    <s v="   "/>
    <n v="12647717"/>
    <n v="608407"/>
    <n v="75000"/>
    <s v="GBP"/>
    <n v="973862.99"/>
    <s v="House Gif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6134032"/>
    <n v="116134032"/>
    <n v="116134032"/>
    <s v="GB32HAND40516252228338            "/>
    <s v="DEPOSIT ACCOUNT                                   "/>
  </r>
  <r>
    <n v="41492391683"/>
    <s v="C7 "/>
    <x v="24"/>
    <n v="41492391683"/>
    <d v="2026-07-28T10:56:27"/>
    <n v="115"/>
    <n v="3"/>
    <s v="           "/>
    <s v="GB"/>
    <s v="   "/>
    <n v="43255473"/>
    <n v="608407"/>
    <n v="25000"/>
    <s v="GBP"/>
    <n v="324621"/>
    <s v="Trf to saving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5377780"/>
    <n v="115377780"/>
    <n v="115377780"/>
    <s v="GB49HAND40516276240479            "/>
    <s v="DEPOSIT ACCOUNT                                   "/>
  </r>
  <r>
    <n v="41494751270"/>
    <s v="C7 "/>
    <x v="24"/>
    <n v="41494751270"/>
    <d v="2026-07-29T14:01:23"/>
    <n v="115"/>
    <n v="3"/>
    <s v="           "/>
    <s v="GB"/>
    <s v="   "/>
    <n v="89260625"/>
    <n v="230120"/>
    <n v="75000"/>
    <s v="GBP"/>
    <n v="973862.99"/>
    <s v="Revolu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0818184"/>
    <n v="110818184"/>
    <n v="110818184"/>
    <s v="GB64HAND40516215918722            "/>
    <s v="DEPOSIT ACCOUNT                                   "/>
  </r>
  <r>
    <n v="41497065241"/>
    <s v="C7 "/>
    <x v="24"/>
    <n v="41497065241"/>
    <d v="2026-07-30T20:25:30"/>
    <n v="115"/>
    <n v="3"/>
    <s v="           "/>
    <s v="GB"/>
    <s v="   "/>
    <n v="73002616"/>
    <n v="206155"/>
    <n v="14644.06"/>
    <s v="GBP"/>
    <n v="190150.8"/>
    <s v="AWI trust tax lo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7888564"/>
    <n v="125780189"/>
    <n v="147888564"/>
    <s v="GB40HAND40516225024544            "/>
    <s v="DEPOSIT ACCOUNT                                   "/>
  </r>
  <r>
    <n v="41499919515"/>
    <s v="C6 "/>
    <x v="24"/>
    <n v="41499919515"/>
    <d v="2026-08-01T16:48:29"/>
    <n v="115"/>
    <n v="3"/>
    <s v="           "/>
    <s v="GB"/>
    <s v="   "/>
    <n v="38307720"/>
    <n v="90130"/>
    <n v="40240.32"/>
    <s v="GBP"/>
    <n v="522514.15"/>
    <s v="Sant HB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9007375"/>
    <n v="119007375"/>
    <n v="119007375"/>
    <s v="GB69HAND40516213678514            "/>
    <s v="DEPOSIT ACCOUNT                                   "/>
  </r>
  <r>
    <n v="41499878714"/>
    <s v="C7 "/>
    <x v="24"/>
    <n v="41499878714"/>
    <d v="2026-08-01T16:21:09"/>
    <n v="115"/>
    <n v="3"/>
    <s v="           "/>
    <s v="GB"/>
    <s v="   "/>
    <n v="10475655"/>
    <n v="40831"/>
    <n v="50000"/>
    <s v="GBP"/>
    <n v="649241.99"/>
    <s v="Camilla Bourqu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5779995"/>
    <n v="105779995"/>
    <n v="105779995"/>
    <s v="GB17HAND40516212615263            "/>
    <s v="CURRENT ACCOUNT                                   "/>
  </r>
  <r>
    <n v="41502365582"/>
    <s v="C7 "/>
    <x v="24"/>
    <n v="41502365582"/>
    <d v="2026-08-03T13:06:28"/>
    <n v="115"/>
    <n v="3"/>
    <s v="           "/>
    <s v="GB"/>
    <s v="   "/>
    <n v="3649830"/>
    <n v="203775"/>
    <n v="100000"/>
    <s v="GBP"/>
    <n v="1298483.98"/>
    <s v="Hartla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4780263"/>
    <n v="124780263"/>
    <n v="124780263"/>
    <s v="GB78HAND40516235771945            "/>
    <s v="DEPOSIT ACCOUNT                                   "/>
  </r>
  <r>
    <n v="41504240618"/>
    <s v="C7 "/>
    <x v="24"/>
    <n v="41504240618"/>
    <d v="2026-08-04T15:22:42"/>
    <n v="115"/>
    <n v="3"/>
    <s v="MYMBGB2LXXX"/>
    <s v="GB"/>
    <s v="   "/>
    <n v="43082167"/>
    <n v="230580"/>
    <n v="100000"/>
    <s v="GBP"/>
    <n v="1298483.98"/>
    <s v="3 Aug TF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30575269"/>
    <n v="130575269"/>
    <n v="130575269"/>
    <s v="GB16HAND40516235260319            "/>
    <s v="CURRENT ACCOUNT                                   "/>
  </r>
  <r>
    <n v="41506175931"/>
    <s v="C7 "/>
    <x v="24"/>
    <n v="41506175931"/>
    <d v="2026-08-05T19:14:31"/>
    <n v="115"/>
    <n v="3"/>
    <s v="HOABGB2LXXX"/>
    <s v="GB"/>
    <s v="   "/>
    <n v="80166232"/>
    <n v="159900"/>
    <n v="100000"/>
    <s v="GBP"/>
    <n v="1298483.98"/>
    <s v=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7953069"/>
    <n v="107953069"/>
    <n v="107953069"/>
    <s v="GB75HAND40516243001700            "/>
    <s v="DEPOSIT ACCOUNT                                   "/>
  </r>
  <r>
    <n v="41506176989"/>
    <s v="C7 "/>
    <x v="24"/>
    <n v="41506176989"/>
    <d v="2026-08-05T19:15:11"/>
    <n v="115"/>
    <n v="3"/>
    <s v="HOABGB2LXXX"/>
    <s v="GB"/>
    <s v="   "/>
    <n v="80166232"/>
    <n v="159900"/>
    <n v="100000"/>
    <s v="GBP"/>
    <n v="1298483.98"/>
    <s v=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7953069"/>
    <n v="107953069"/>
    <n v="107953069"/>
    <s v="GB75HAND40516243001700            "/>
    <s v="DEPOSIT ACCOUNT                                   "/>
  </r>
  <r>
    <n v="41505232361"/>
    <s v="C7 "/>
    <x v="24"/>
    <n v="41505232361"/>
    <d v="2026-08-05T10:39:32"/>
    <n v="69"/>
    <n v="3"/>
    <s v="NWBKGB2135J"/>
    <s v="GB"/>
    <s v="   "/>
    <n v="67752705"/>
    <n v="536123"/>
    <n v="125000"/>
    <s v="GBP"/>
    <n v="1623104.98"/>
    <s v="Loan PA AM Barrat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5992786"/>
    <n v="115992786"/>
    <n v="115992786"/>
    <s v="GB20HAND40516224577928            "/>
    <s v="CURRENT ACCOUNT                                   "/>
  </r>
  <r>
    <n v="41507370412"/>
    <s v="C7 "/>
    <x v="24"/>
    <n v="41507370412"/>
    <d v="2026-08-06T15:48:39"/>
    <n v="69"/>
    <n v="3"/>
    <s v="NWBKGB2113S"/>
    <s v="GB"/>
    <s v="   "/>
    <n v="94457662"/>
    <n v="10541"/>
    <n v="131250"/>
    <s v="GBP"/>
    <n v="1704260.23"/>
    <s v="emmerson heritan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3220075"/>
    <n v="103220075"/>
    <n v="103220075"/>
    <s v="GB96HAND40516263169562            "/>
    <s v="CURRENT ACCOUNT                                   "/>
  </r>
  <r>
    <n v="41509375121"/>
    <s v="C6 "/>
    <x v="24"/>
    <n v="41509375121"/>
    <d v="2026-08-07T19:50:11"/>
    <n v="115"/>
    <n v="3"/>
    <s v="           "/>
    <s v="GB"/>
    <s v="   "/>
    <n v="93108627"/>
    <n v="206518"/>
    <n v="30000"/>
    <s v="GBP"/>
    <n v="389545.21"/>
    <s v="SH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0890316"/>
    <n v="110890316"/>
    <n v="110890316"/>
    <s v="GB39HAND40516255068663            "/>
    <s v="CURRENT ACCOUNT                                   "/>
  </r>
  <r>
    <n v="41448593472"/>
    <s v="C6 "/>
    <x v="25"/>
    <n v="41448593472"/>
    <d v="2026-07-02T08:58:23"/>
    <n v="115"/>
    <n v="3"/>
    <s v="           "/>
    <s v="GB"/>
    <s v="   "/>
    <n v="9204083"/>
    <n v="40075"/>
    <n v="50000"/>
    <s v="GBP"/>
    <n v="645274.81999999995"/>
    <s v="Tfr Hdlsb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2592674"/>
    <n v="142592674"/>
    <n v="142592674"/>
    <s v="GB31HAND40516237199079            "/>
    <s v="DEPOSIT ACCOUNT                                   "/>
  </r>
  <r>
    <n v="41451349515"/>
    <s v="C6 "/>
    <x v="25"/>
    <n v="41451349515"/>
    <d v="2026-07-03T16:20:59"/>
    <n v="115"/>
    <n v="3"/>
    <s v="           "/>
    <s v="GB"/>
    <s v="   "/>
    <n v="16281625"/>
    <n v="608407"/>
    <n v="50000"/>
    <s v="GBP"/>
    <n v="645274.81999999995"/>
    <s v="depo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533080"/>
    <n v="128533080"/>
    <n v="128533080"/>
    <s v="GB42HAND40516287347008            "/>
    <s v="CURRENT ACCOUNT MORTGAGE                          "/>
  </r>
  <r>
    <n v="41451347753"/>
    <s v="C6 "/>
    <x v="25"/>
    <n v="41451347753"/>
    <d v="2026-07-03T16:20:08"/>
    <n v="115"/>
    <n v="3"/>
    <s v="           "/>
    <s v="GB"/>
    <s v="   "/>
    <n v="16281625"/>
    <n v="608407"/>
    <n v="100000"/>
    <s v="GBP"/>
    <n v="1290549.53"/>
    <s v="depo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533080"/>
    <n v="128533080"/>
    <n v="128533080"/>
    <s v="GB42HAND40516287347008            "/>
    <s v="CURRENT ACCOUNT MORTGAGE                          "/>
  </r>
  <r>
    <n v="41450795129"/>
    <s v="C6 "/>
    <x v="25"/>
    <n v="41450795129"/>
    <d v="2026-07-03T12:23:56"/>
    <n v="115"/>
    <n v="3"/>
    <s v="SMIWGB2LXXX"/>
    <s v="GB"/>
    <s v="   "/>
    <n v="54606"/>
    <n v="165760"/>
    <n v="25000"/>
    <s v="GBP"/>
    <n v="322637.40999999997"/>
    <s v="Polly Evelyn Gif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2909595"/>
    <n v="102909595"/>
    <n v="102909595"/>
    <s v="GB59HAND40516222636256            "/>
    <s v="CURRENT ACCOUNT                                   "/>
  </r>
  <r>
    <n v="41450496287"/>
    <s v="C6 "/>
    <x v="25"/>
    <n v="41450496287"/>
    <d v="2026-07-03T09:58:23"/>
    <n v="115"/>
    <n v="3"/>
    <s v="SMIWGB2LXXX"/>
    <s v="GB"/>
    <s v="   "/>
    <n v="54606"/>
    <n v="165760"/>
    <n v="25000"/>
    <s v="GBP"/>
    <n v="322637.40999999997"/>
    <s v="Polly Evelyn Gif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2909595"/>
    <n v="102909595"/>
    <n v="102909595"/>
    <s v="GB59HAND40516222636256            "/>
    <s v="CURRENT ACCOUNT                                   "/>
  </r>
  <r>
    <n v="41452226654"/>
    <s v="C6 "/>
    <x v="25"/>
    <n v="41452226654"/>
    <d v="2026-07-04T10:31:13"/>
    <n v="115"/>
    <n v="3"/>
    <s v="           "/>
    <s v="GB"/>
    <s v="   "/>
    <n v="16281625"/>
    <n v="608407"/>
    <n v="100000"/>
    <s v="GBP"/>
    <n v="1290549.53"/>
    <s v="depo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533080"/>
    <n v="128533080"/>
    <n v="128533080"/>
    <s v="GB42HAND40516287347008            "/>
    <s v="CURRENT ACCOUNT MORTGAGE                          "/>
  </r>
  <r>
    <n v="41456954979"/>
    <s v="C6 "/>
    <x v="25"/>
    <n v="41456954979"/>
    <d v="2026-07-07T11:54:22"/>
    <n v="115"/>
    <n v="3"/>
    <s v="           "/>
    <s v="GB"/>
    <s v="   "/>
    <n v="50254528"/>
    <n v="41333"/>
    <n v="80000"/>
    <s v="GBP"/>
    <n v="1032439.7"/>
    <s v="Savings ThisBa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4795784"/>
    <n v="114795784"/>
    <n v="114795784"/>
    <s v="GB64HAND40516240139622            "/>
    <s v="DEPOSIT ACCOUNT                                   "/>
  </r>
  <r>
    <n v="41462850655"/>
    <s v="C6 "/>
    <x v="25"/>
    <n v="41462850655"/>
    <d v="2026-07-10T18:56:19"/>
    <n v="115"/>
    <n v="3"/>
    <s v="MIDLGB2196K"/>
    <s v="GB"/>
    <s v="   "/>
    <n v="10235121"/>
    <n v="403232"/>
    <n v="80000"/>
    <s v="GBP"/>
    <n v="1032439.7"/>
    <s v="PA273125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8525652"/>
    <n v="148525652"/>
    <n v="148525652"/>
    <s v="GB31HAND40516213470842            "/>
    <s v="CURRENT ACCOUNT                                   "/>
  </r>
  <r>
    <n v="41463745341"/>
    <s v="C6 "/>
    <x v="25"/>
    <n v="41463745341"/>
    <d v="2026-07-11T13:15:23"/>
    <n v="115"/>
    <n v="3"/>
    <s v="MIDLGB2196K"/>
    <s v="GB"/>
    <s v="   "/>
    <n v="10235121"/>
    <n v="403232"/>
    <n v="80000"/>
    <s v="GBP"/>
    <n v="1032439.7"/>
    <s v="PA273125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48525652"/>
    <n v="148525652"/>
    <n v="148525652"/>
    <s v="GB31HAND40516213470842            "/>
    <s v="CURRENT ACCOUNT                                   "/>
  </r>
  <r>
    <n v="41467041081"/>
    <s v="C6 "/>
    <x v="25"/>
    <n v="41467041081"/>
    <d v="2026-07-13T18:43:55"/>
    <n v="115"/>
    <n v="3"/>
    <s v="           "/>
    <s v="GB"/>
    <s v="   "/>
    <n v="61424661"/>
    <n v="608407"/>
    <n v="10000"/>
    <s v="GBP"/>
    <n v="129054.96"/>
    <s v="CHA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25048454"/>
    <n v="125048454"/>
    <n v="125048454"/>
    <s v="GB32HAND40516286154573            "/>
    <s v="CURRENT ACCOUNT                                   "/>
  </r>
  <r>
    <n v="41472246859"/>
    <s v="C6 "/>
    <x v="25"/>
    <n v="41472246859"/>
    <d v="2026-07-16T17:50:56"/>
    <n v="69"/>
    <n v="3"/>
    <s v="RBOSGB21528"/>
    <s v="GB"/>
    <s v="   "/>
    <n v="10030747"/>
    <n v="161923"/>
    <n v="250000"/>
    <s v="GBP"/>
    <n v="3226373.98"/>
    <s v="DH to DDJ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7560732"/>
    <n v="107560732"/>
    <n v="107560732"/>
    <s v="GB94HAND40516269781991            "/>
    <s v="CURRENT ACCOUNT                                   "/>
  </r>
  <r>
    <n v="41486224304"/>
    <s v="C6 "/>
    <x v="25"/>
    <n v="41486224304"/>
    <d v="2026-07-24T20:35:21"/>
    <n v="115"/>
    <n v="3"/>
    <s v="           "/>
    <s v="GB"/>
    <s v="   "/>
    <n v="26180505"/>
    <n v="608407"/>
    <n v="100000"/>
    <s v="GBP"/>
    <n v="1298483.98"/>
    <s v="Chase AC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86220957"/>
    <s v="C6 "/>
    <x v="25"/>
    <n v="41486220957"/>
    <d v="2026-07-24T20:33:07"/>
    <n v="115"/>
    <n v="3"/>
    <s v="           "/>
    <s v="GB"/>
    <s v="   "/>
    <n v="26180505"/>
    <n v="608407"/>
    <n v="100000"/>
    <s v="GBP"/>
    <n v="1298483.98"/>
    <s v="Chase AC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6118058"/>
    <n v="126118058"/>
    <n v="126118058"/>
    <s v="GB24HAND40516251223465            "/>
    <s v="DEPOSIT ACCOUNT                                   "/>
  </r>
  <r>
    <n v="41495811253"/>
    <s v="C6 "/>
    <x v="25"/>
    <n v="41495811253"/>
    <d v="2026-07-30T08:22:08"/>
    <n v="115"/>
    <n v="3"/>
    <s v="           "/>
    <s v="GB"/>
    <s v="   "/>
    <n v="12808787"/>
    <n v="406437"/>
    <n v="13590"/>
    <s v="GBP"/>
    <n v="176463.93"/>
    <s v="Marcus savings ac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17384925"/>
    <n v="117384925"/>
    <n v="117384925"/>
    <s v="GB17HAND40516284008524            "/>
    <s v="DENNE OT CURRENT ACCOUNT                          "/>
  </r>
  <r>
    <n v="41469450367"/>
    <s v="C7 "/>
    <x v="6"/>
    <n v="41469450367"/>
    <d v="2026-07-15T12:39:21"/>
    <n v="115"/>
    <n v="3"/>
    <s v="           "/>
    <s v="GB"/>
    <s v="   "/>
    <n v="91459589"/>
    <n v="406437"/>
    <n v="20000"/>
    <s v="GBP"/>
    <n v="258109.93"/>
    <s v="Michael Bayl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6609553"/>
    <n v="116609553"/>
    <n v="116609553"/>
    <s v="GB11HAND40516251349411            "/>
    <s v="CURRENT ACCOUNT                                   "/>
  </r>
  <r>
    <n v="41469450367"/>
    <s v="C7 "/>
    <x v="23"/>
    <n v="41469450367"/>
    <d v="2026-07-15T12:39:21"/>
    <n v="115"/>
    <n v="3"/>
    <s v="           "/>
    <s v="GB"/>
    <s v="   "/>
    <n v="91459589"/>
    <n v="406437"/>
    <n v="20000"/>
    <s v="GBP"/>
    <n v="258109.93"/>
    <s v="Michael Bayl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6609553"/>
    <n v="116609553"/>
    <n v="116609553"/>
    <s v="GB11HAND40516251349411            "/>
    <s v="CURRENT ACCOUNT                                   "/>
  </r>
  <r>
    <n v="41469879563"/>
    <s v="C7 "/>
    <x v="5"/>
    <n v="41469879563"/>
    <d v="2026-07-15T16:17:43"/>
    <n v="115"/>
    <n v="3"/>
    <s v="           "/>
    <s v="GB"/>
    <s v="   "/>
    <n v="51971044"/>
    <n v="406301"/>
    <n v="19995"/>
    <s v="GBP"/>
    <n v="258045.42"/>
    <s v="CBS Fix I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92286806"/>
    <n v="92286806"/>
    <n v="92286806"/>
    <s v="GB50HAND40516241400001            "/>
    <s v="EXPENSES ACCOUNT                                  "/>
  </r>
  <r>
    <n v="41469879563"/>
    <s v="C7 "/>
    <x v="23"/>
    <n v="41469879563"/>
    <d v="2026-07-15T16:17:43"/>
    <n v="115"/>
    <n v="3"/>
    <s v="           "/>
    <s v="GB"/>
    <s v="   "/>
    <n v="51971044"/>
    <n v="406301"/>
    <n v="19995"/>
    <s v="GBP"/>
    <n v="258045.42"/>
    <s v="CBS Fix I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92286806"/>
    <n v="92286806"/>
    <n v="92286806"/>
    <s v="GB50HAND40516241400001            "/>
    <s v="EXPENSES ACCOUNT                                  "/>
  </r>
  <r>
    <n v="41472245890"/>
    <s v="C7 "/>
    <x v="5"/>
    <n v="41472245890"/>
    <d v="2026-07-16T17:50:55"/>
    <n v="115"/>
    <n v="3"/>
    <s v="RBOSGB21528"/>
    <s v="GB"/>
    <s v="   "/>
    <n v="10030747"/>
    <n v="161923"/>
    <n v="17000"/>
    <s v="GBP"/>
    <n v="219393.44"/>
    <s v="DH for Step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7560732"/>
    <n v="107560732"/>
    <n v="107560732"/>
    <s v="GB94HAND40516269781991            "/>
    <s v="CURRENT ACCOUNT                                   "/>
  </r>
  <r>
    <n v="41472245890"/>
    <s v="C7 "/>
    <x v="23"/>
    <n v="41472245890"/>
    <d v="2026-07-16T17:50:55"/>
    <n v="115"/>
    <n v="3"/>
    <s v="RBOSGB21528"/>
    <s v="GB"/>
    <s v="   "/>
    <n v="10030747"/>
    <n v="161923"/>
    <n v="17000"/>
    <s v="GBP"/>
    <n v="219393.44"/>
    <s v="DH for Step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7560732"/>
    <n v="107560732"/>
    <n v="107560732"/>
    <s v="GB94HAND40516269781991            "/>
    <s v="CURRENT ACCOUNT                                   "/>
  </r>
  <r>
    <n v="41472246859"/>
    <s v="C6 "/>
    <x v="12"/>
    <n v="41472246859"/>
    <d v="2026-07-16T17:50:56"/>
    <n v="69"/>
    <n v="3"/>
    <s v="RBOSGB21528"/>
    <s v="GB"/>
    <s v="   "/>
    <n v="10030747"/>
    <n v="161923"/>
    <n v="250000"/>
    <s v="GBP"/>
    <n v="3226373.98"/>
    <s v="DH to DDJ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7560732"/>
    <n v="107560732"/>
    <n v="107560732"/>
    <s v="GB94HAND40516269781991            "/>
    <s v="CURRENT ACCOUNT                                   "/>
  </r>
  <r>
    <n v="41472246859"/>
    <s v="C6 "/>
    <x v="19"/>
    <n v="41472246859"/>
    <d v="2026-07-16T17:50:56"/>
    <n v="69"/>
    <n v="3"/>
    <s v="RBOSGB21528"/>
    <s v="GB"/>
    <s v="   "/>
    <n v="10030747"/>
    <n v="161923"/>
    <n v="250000"/>
    <s v="GBP"/>
    <n v="3226373.98"/>
    <s v="DH to DDJ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7560732"/>
    <n v="107560732"/>
    <n v="107560732"/>
    <s v="GB94HAND40516269781991            "/>
    <s v="CURRENT ACCOUNT                                   "/>
  </r>
  <r>
    <n v="41472246859"/>
    <s v="C6 "/>
    <x v="20"/>
    <n v="41472246859"/>
    <d v="2026-07-16T17:50:56"/>
    <n v="69"/>
    <n v="3"/>
    <s v="RBOSGB21528"/>
    <s v="GB"/>
    <s v="   "/>
    <n v="10030747"/>
    <n v="161923"/>
    <n v="250000"/>
    <s v="GBP"/>
    <n v="3226373.98"/>
    <s v="DH to DDJ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7560732"/>
    <n v="107560732"/>
    <n v="107560732"/>
    <s v="GB94HAND40516269781991            "/>
    <s v="CURRENT ACCOUNT                                   "/>
  </r>
  <r>
    <n v="41472246859"/>
    <s v="C6 "/>
    <x v="21"/>
    <n v="41472246859"/>
    <d v="2026-07-16T17:50:56"/>
    <n v="69"/>
    <n v="3"/>
    <s v="RBOSGB21528"/>
    <s v="GB"/>
    <s v="   "/>
    <n v="10030747"/>
    <n v="161923"/>
    <n v="250000"/>
    <s v="GBP"/>
    <n v="3226373.98"/>
    <s v="DH to DDJ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7560732"/>
    <n v="107560732"/>
    <n v="107560732"/>
    <s v="GB94HAND40516269781991            "/>
    <s v="CURRENT ACCOUNT                                   "/>
  </r>
  <r>
    <n v="41472246859"/>
    <s v="C6 "/>
    <x v="23"/>
    <n v="41472246859"/>
    <d v="2026-07-16T17:50:56"/>
    <n v="69"/>
    <n v="3"/>
    <s v="RBOSGB21528"/>
    <s v="GB"/>
    <s v="   "/>
    <n v="10030747"/>
    <n v="161923"/>
    <n v="250000"/>
    <s v="GBP"/>
    <n v="3226373.98"/>
    <s v="DH to DDJ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7560732"/>
    <n v="107560732"/>
    <n v="107560732"/>
    <s v="GB94HAND40516269781991            "/>
    <s v="CURRENT ACCOUNT                                   "/>
  </r>
  <r>
    <n v="41472246859"/>
    <s v="C6 "/>
    <x v="25"/>
    <n v="41472246859"/>
    <d v="2026-07-16T17:50:56"/>
    <n v="69"/>
    <n v="3"/>
    <s v="RBOSGB21528"/>
    <s v="GB"/>
    <s v="   "/>
    <n v="10030747"/>
    <n v="161923"/>
    <n v="250000"/>
    <s v="GBP"/>
    <n v="3226373.98"/>
    <s v="DH to DDJ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7560732"/>
    <n v="107560732"/>
    <n v="107560732"/>
    <s v="GB94HAND40516269781991            "/>
    <s v="CURRENT ACCOUNT                                   "/>
  </r>
  <r>
    <n v="41472853048"/>
    <s v="C7 "/>
    <x v="23"/>
    <n v="41472853048"/>
    <d v="2026-07-17T09:00:52"/>
    <n v="115"/>
    <n v="3"/>
    <s v="HBUKGB4194R"/>
    <s v="GB"/>
    <s v="   "/>
    <n v="51470736"/>
    <n v="401160"/>
    <n v="10000"/>
    <s v="GBP"/>
    <n v="129054.96"/>
    <s v="FR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05165419"/>
    <n v="105165419"/>
    <n v="105165419"/>
    <s v="GB88HAND40516235315380            "/>
    <s v="CURRENT ACCOUNT                                   "/>
  </r>
  <r>
    <n v="41473429686"/>
    <s v="C6 "/>
    <x v="18"/>
    <n v="41473429686"/>
    <d v="2026-07-17T13:40:45"/>
    <n v="115"/>
    <n v="3"/>
    <s v="           "/>
    <s v="GB"/>
    <s v="   "/>
    <n v="45103897"/>
    <n v="609204"/>
    <n v="25000"/>
    <s v="GBP"/>
    <n v="322637.40999999997"/>
    <s v="45103897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3366470"/>
    <n v="113366470"/>
    <n v="113366470"/>
    <s v="GB33HAND40516220222976            "/>
    <s v="DEPOSIT ACCOUNT NO.2                              "/>
  </r>
  <r>
    <n v="41473429686"/>
    <s v="C6 "/>
    <x v="20"/>
    <n v="41473429686"/>
    <d v="2026-07-17T13:40:45"/>
    <n v="115"/>
    <n v="3"/>
    <s v="           "/>
    <s v="GB"/>
    <s v="   "/>
    <n v="45103897"/>
    <n v="609204"/>
    <n v="25000"/>
    <s v="GBP"/>
    <n v="322637.40999999997"/>
    <s v="45103897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3366470"/>
    <n v="113366470"/>
    <n v="113366470"/>
    <s v="GB33HAND40516220222976            "/>
    <s v="DEPOSIT ACCOUNT NO.2                              "/>
  </r>
  <r>
    <n v="41473429686"/>
    <s v="C6 "/>
    <x v="23"/>
    <n v="41473429686"/>
    <d v="2026-07-17T13:40:45"/>
    <n v="115"/>
    <n v="3"/>
    <s v="           "/>
    <s v="GB"/>
    <s v="   "/>
    <n v="45103897"/>
    <n v="609204"/>
    <n v="25000"/>
    <s v="GBP"/>
    <n v="322637.40999999997"/>
    <s v="45103897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3366470"/>
    <n v="113366470"/>
    <n v="113366470"/>
    <s v="GB33HAND40516220222976            "/>
    <s v="DEPOSIT ACCOUNT NO.2                              "/>
  </r>
  <r>
    <n v="41473431379"/>
    <s v="C6 "/>
    <x v="18"/>
    <n v="41473431379"/>
    <d v="2026-07-17T13:41:27"/>
    <n v="115"/>
    <n v="3"/>
    <s v="           "/>
    <s v="GB"/>
    <s v="   "/>
    <n v="45057828"/>
    <n v="609204"/>
    <n v="25000"/>
    <s v="GBP"/>
    <n v="322637.40999999997"/>
    <s v="45057828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3366470"/>
    <n v="113366470"/>
    <n v="113366470"/>
    <s v="GB33HAND40516220222976            "/>
    <s v="DEPOSIT ACCOUNT NO.2                              "/>
  </r>
  <r>
    <n v="41473431379"/>
    <s v="C6 "/>
    <x v="19"/>
    <n v="41473431379"/>
    <d v="2026-07-17T13:41:27"/>
    <n v="115"/>
    <n v="3"/>
    <s v="           "/>
    <s v="GB"/>
    <s v="   "/>
    <n v="45057828"/>
    <n v="609204"/>
    <n v="25000"/>
    <s v="GBP"/>
    <n v="322637.40999999997"/>
    <s v="45057828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3366470"/>
    <n v="113366470"/>
    <n v="113366470"/>
    <s v="GB33HAND40516220222976            "/>
    <s v="DEPOSIT ACCOUNT NO.2                              "/>
  </r>
  <r>
    <n v="41473431379"/>
    <s v="C6 "/>
    <x v="20"/>
    <n v="41473431379"/>
    <d v="2026-07-17T13:41:27"/>
    <n v="115"/>
    <n v="3"/>
    <s v="           "/>
    <s v="GB"/>
    <s v="   "/>
    <n v="45057828"/>
    <n v="609204"/>
    <n v="25000"/>
    <s v="GBP"/>
    <n v="322637.40999999997"/>
    <s v="45057828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3366470"/>
    <n v="113366470"/>
    <n v="113366470"/>
    <s v="GB33HAND40516220222976            "/>
    <s v="DEPOSIT ACCOUNT NO.2                              "/>
  </r>
  <r>
    <n v="41473431379"/>
    <s v="C6 "/>
    <x v="21"/>
    <n v="41473431379"/>
    <d v="2026-07-17T13:41:27"/>
    <n v="115"/>
    <n v="3"/>
    <s v="           "/>
    <s v="GB"/>
    <s v="   "/>
    <n v="45057828"/>
    <n v="609204"/>
    <n v="25000"/>
    <s v="GBP"/>
    <n v="322637.40999999997"/>
    <s v="45057828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3366470"/>
    <n v="113366470"/>
    <n v="113366470"/>
    <s v="GB33HAND40516220222976            "/>
    <s v="DEPOSIT ACCOUNT NO.2                              "/>
  </r>
  <r>
    <n v="41473431379"/>
    <s v="C6 "/>
    <x v="23"/>
    <n v="41473431379"/>
    <d v="2026-07-17T13:41:27"/>
    <n v="115"/>
    <n v="3"/>
    <s v="           "/>
    <s v="GB"/>
    <s v="   "/>
    <n v="45057828"/>
    <n v="609204"/>
    <n v="25000"/>
    <s v="GBP"/>
    <n v="322637.40999999997"/>
    <s v="45057828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3366470"/>
    <n v="113366470"/>
    <n v="113366470"/>
    <s v="GB33HAND40516220222976            "/>
    <s v="DEPOSIT ACCOUNT NO.2                              "/>
  </r>
  <r>
    <n v="41473658022"/>
    <s v="C7 "/>
    <x v="5"/>
    <n v="41473658022"/>
    <d v="2026-07-17T15:33:06"/>
    <n v="115"/>
    <n v="3"/>
    <s v="           "/>
    <s v="GB"/>
    <s v="   "/>
    <n v="62629753"/>
    <n v="608407"/>
    <n v="10000"/>
    <s v="GBP"/>
    <n v="129054.96"/>
    <s v="Chase sa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18960145"/>
    <n v="118960145"/>
    <n v="118960145"/>
    <s v="GB51HAND40516241432963            "/>
    <s v="CURRENT ACCOUNT                                   "/>
  </r>
  <r>
    <n v="41473658022"/>
    <s v="C7 "/>
    <x v="23"/>
    <n v="41473658022"/>
    <d v="2026-07-17T15:33:06"/>
    <n v="115"/>
    <n v="3"/>
    <s v="           "/>
    <s v="GB"/>
    <s v="   "/>
    <n v="62629753"/>
    <n v="608407"/>
    <n v="10000"/>
    <s v="GBP"/>
    <n v="129054.96"/>
    <s v="Chase sa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18960145"/>
    <n v="118960145"/>
    <n v="118960145"/>
    <s v="GB51HAND40516241432963            "/>
    <s v="CURRENT ACCOUNT                                   "/>
  </r>
  <r>
    <n v="41473704457"/>
    <s v="C7 "/>
    <x v="5"/>
    <n v="41473704457"/>
    <d v="2026-07-17T15:56:36"/>
    <n v="115"/>
    <n v="3"/>
    <s v="           "/>
    <s v="GB"/>
    <s v="   "/>
    <n v="26406586"/>
    <n v="608456"/>
    <n v="85000"/>
    <s v="GBP"/>
    <n v="1096967.19"/>
    <s v="KRBS issue2 ltd a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96716188"/>
    <n v="96716188"/>
    <n v="96716188"/>
    <s v="GB95HAND40516247387001            "/>
    <s v="CURRENT ACCOUNT                                   "/>
  </r>
  <r>
    <n v="41473704457"/>
    <s v="C7 "/>
    <x v="16"/>
    <n v="41473704457"/>
    <d v="2026-07-17T15:56:36"/>
    <n v="115"/>
    <n v="3"/>
    <s v="           "/>
    <s v="GB"/>
    <s v="   "/>
    <n v="26406586"/>
    <n v="608456"/>
    <n v="85000"/>
    <s v="GBP"/>
    <n v="1096967.19"/>
    <s v="KRBS issue2 ltd a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96716188"/>
    <n v="96716188"/>
    <n v="96716188"/>
    <s v="GB95HAND40516247387001            "/>
    <s v="CURRENT ACCOUNT                                   "/>
  </r>
  <r>
    <n v="41473704457"/>
    <s v="C7 "/>
    <x v="22"/>
    <n v="41473704457"/>
    <d v="2026-07-17T15:56:36"/>
    <n v="115"/>
    <n v="3"/>
    <s v="           "/>
    <s v="GB"/>
    <s v="   "/>
    <n v="26406586"/>
    <n v="608456"/>
    <n v="85000"/>
    <s v="GBP"/>
    <n v="1096967.19"/>
    <s v="KRBS issue2 ltd a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96716188"/>
    <n v="96716188"/>
    <n v="96716188"/>
    <s v="GB95HAND40516247387001            "/>
    <s v="CURRENT ACCOUNT                                   "/>
  </r>
  <r>
    <n v="41473704457"/>
    <s v="C7 "/>
    <x v="23"/>
    <n v="41473704457"/>
    <d v="2026-07-17T15:56:36"/>
    <n v="115"/>
    <n v="3"/>
    <s v="           "/>
    <s v="GB"/>
    <s v="   "/>
    <n v="26406586"/>
    <n v="608456"/>
    <n v="85000"/>
    <s v="GBP"/>
    <n v="1096967.19"/>
    <s v="KRBS issue2 ltd a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96716188"/>
    <n v="96716188"/>
    <n v="96716188"/>
    <s v="GB95HAND40516247387001            "/>
    <s v="CURRENT ACCOUNT                                   "/>
  </r>
  <r>
    <n v="41473748681"/>
    <s v="C7 "/>
    <x v="23"/>
    <n v="41473748681"/>
    <d v="2026-07-17T16:20:46"/>
    <n v="115"/>
    <n v="3"/>
    <s v="           "/>
    <s v="GB"/>
    <s v="   "/>
    <n v="63246516"/>
    <n v="608407"/>
    <n v="10000"/>
    <s v="GBP"/>
    <n v="129054.96"/>
    <s v="17/07 Cunningha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3075137"/>
    <n v="123075137"/>
    <n v="123075137"/>
    <s v="GB75HAND40516253213278            "/>
    <s v="CURRENT ACCOUNT                                   "/>
  </r>
  <r>
    <n v="41473841513"/>
    <s v="C7 "/>
    <x v="10"/>
    <n v="41473841513"/>
    <d v="2026-07-17T17:12:18"/>
    <n v="115"/>
    <n v="3"/>
    <s v="           "/>
    <s v="GB"/>
    <s v="   "/>
    <n v="24040801"/>
    <n v="40605"/>
    <n v="13329.74"/>
    <s v="GBP"/>
    <n v="172026.88"/>
    <s v="HBOT Sau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132131"/>
    <n v="128132131"/>
    <n v="128132131"/>
    <s v="GB39HAND40516258923540            "/>
    <s v="CURRENT ACCOUNT                                   "/>
  </r>
  <r>
    <n v="41473841513"/>
    <s v="C7 "/>
    <x v="19"/>
    <n v="41473841513"/>
    <d v="2026-07-17T17:12:18"/>
    <n v="115"/>
    <n v="3"/>
    <s v="           "/>
    <s v="GB"/>
    <s v="   "/>
    <n v="24040801"/>
    <n v="40605"/>
    <n v="13329.74"/>
    <s v="GBP"/>
    <n v="172026.88"/>
    <s v="HBOT Sau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132131"/>
    <n v="128132131"/>
    <n v="128132131"/>
    <s v="GB39HAND40516258923540            "/>
    <s v="CURRENT ACCOUNT                                   "/>
  </r>
  <r>
    <n v="41473841513"/>
    <s v="C7 "/>
    <x v="23"/>
    <n v="41473841513"/>
    <d v="2026-07-17T17:12:18"/>
    <n v="115"/>
    <n v="3"/>
    <s v="           "/>
    <s v="GB"/>
    <s v="   "/>
    <n v="24040801"/>
    <n v="40605"/>
    <n v="13329.74"/>
    <s v="GBP"/>
    <n v="172026.88"/>
    <s v="HBOT Sau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8132131"/>
    <n v="128132131"/>
    <n v="128132131"/>
    <s v="GB39HAND40516258923540            "/>
    <s v="CURRENT ACCOUNT                                   "/>
  </r>
  <r>
    <n v="41473974572"/>
    <s v="C7 "/>
    <x v="5"/>
    <n v="41473974572"/>
    <d v="2026-07-17T18:29:16"/>
    <n v="115"/>
    <n v="3"/>
    <s v="           "/>
    <s v="GB"/>
    <s v="   "/>
    <n v="63246516"/>
    <n v="608407"/>
    <n v="90000"/>
    <s v="GBP"/>
    <n v="1161494.57"/>
    <s v="17/07 Cunningha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3075137"/>
    <n v="123075137"/>
    <n v="123075137"/>
    <s v="GB75HAND40516253213278            "/>
    <s v="CURRENT ACCOUNT                                   "/>
  </r>
  <r>
    <n v="41473974572"/>
    <s v="C7 "/>
    <x v="16"/>
    <n v="41473974572"/>
    <d v="2026-07-17T18:29:16"/>
    <n v="115"/>
    <n v="3"/>
    <s v="           "/>
    <s v="GB"/>
    <s v="   "/>
    <n v="63246516"/>
    <n v="608407"/>
    <n v="90000"/>
    <s v="GBP"/>
    <n v="1161494.57"/>
    <s v="17/07 Cunningha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3075137"/>
    <n v="123075137"/>
    <n v="123075137"/>
    <s v="GB75HAND40516253213278            "/>
    <s v="CURRENT ACCOUNT                                   "/>
  </r>
  <r>
    <n v="41473974572"/>
    <s v="C7 "/>
    <x v="22"/>
    <n v="41473974572"/>
    <d v="2026-07-17T18:29:16"/>
    <n v="115"/>
    <n v="3"/>
    <s v="           "/>
    <s v="GB"/>
    <s v="   "/>
    <n v="63246516"/>
    <n v="608407"/>
    <n v="90000"/>
    <s v="GBP"/>
    <n v="1161494.57"/>
    <s v="17/07 Cunningha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3075137"/>
    <n v="123075137"/>
    <n v="123075137"/>
    <s v="GB75HAND40516253213278            "/>
    <s v="CURRENT ACCOUNT                                   "/>
  </r>
  <r>
    <n v="41473974572"/>
    <s v="C7 "/>
    <x v="23"/>
    <n v="41473974572"/>
    <d v="2026-07-17T18:29:16"/>
    <n v="115"/>
    <n v="3"/>
    <s v="           "/>
    <s v="GB"/>
    <s v="   "/>
    <n v="63246516"/>
    <n v="608407"/>
    <n v="90000"/>
    <s v="GBP"/>
    <n v="1161494.57"/>
    <s v="17/07 Cunningha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3075137"/>
    <n v="123075137"/>
    <n v="123075137"/>
    <s v="GB75HAND40516253213278            "/>
    <s v="CURRENT ACCOUNT                                   "/>
  </r>
  <r>
    <n v="41474001223"/>
    <s v="C8 "/>
    <x v="10"/>
    <n v="41474001223"/>
    <d v="2026-07-17T18:46:35"/>
    <n v="69"/>
    <n v="3"/>
    <s v="RBOSGB21528"/>
    <s v="GB"/>
    <s v="   "/>
    <n v="10030747"/>
    <n v="161923"/>
    <n v="250000"/>
    <s v="GBP"/>
    <n v="3226373.98"/>
    <s v="DH to DDJ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7560732"/>
    <n v="107560732"/>
    <n v="107560732"/>
    <s v="GB94HAND40516269781991            "/>
    <s v="CURRENT ACCOUNT                                   "/>
  </r>
  <r>
    <n v="41474001223"/>
    <s v="C8 "/>
    <x v="12"/>
    <n v="41474001223"/>
    <d v="2026-07-17T18:46:35"/>
    <n v="69"/>
    <n v="3"/>
    <s v="RBOSGB21528"/>
    <s v="GB"/>
    <s v="   "/>
    <n v="10030747"/>
    <n v="161923"/>
    <n v="250000"/>
    <s v="GBP"/>
    <n v="3226373.98"/>
    <s v="DH to DDJ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7560732"/>
    <n v="107560732"/>
    <n v="107560732"/>
    <s v="GB94HAND40516269781991            "/>
    <s v="CURRENT ACCOUNT                                   "/>
  </r>
  <r>
    <n v="41474001223"/>
    <s v="C8 "/>
    <x v="23"/>
    <n v="41474001223"/>
    <d v="2026-07-17T18:46:35"/>
    <n v="69"/>
    <n v="3"/>
    <s v="RBOSGB21528"/>
    <s v="GB"/>
    <s v="   "/>
    <n v="10030747"/>
    <n v="161923"/>
    <n v="250000"/>
    <s v="GBP"/>
    <n v="3226373.98"/>
    <s v="DH to DDJ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7560732"/>
    <n v="107560732"/>
    <n v="107560732"/>
    <s v="GB94HAND40516269781991            "/>
    <s v="CURRENT ACCOUNT                                   "/>
  </r>
  <r>
    <n v="41474001223"/>
    <s v="C8 "/>
    <x v="24"/>
    <n v="41474001223"/>
    <d v="2026-07-17T18:46:35"/>
    <n v="69"/>
    <n v="3"/>
    <s v="RBOSGB21528"/>
    <s v="GB"/>
    <s v="   "/>
    <n v="10030747"/>
    <n v="161923"/>
    <n v="250000"/>
    <s v="GBP"/>
    <n v="3226373.98"/>
    <s v="DH to DDJ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7560732"/>
    <n v="107560732"/>
    <n v="107560732"/>
    <s v="GB94HAND40516269781991            "/>
    <s v="CURRENT ACCOUNT                                   "/>
  </r>
  <r>
    <n v="41475226924"/>
    <s v="C7 "/>
    <x v="19"/>
    <n v="41475226924"/>
    <d v="2026-07-18T16:28:07"/>
    <n v="115"/>
    <n v="3"/>
    <s v="           "/>
    <s v="GB"/>
    <s v="   "/>
    <n v="24510889"/>
    <n v="230163"/>
    <n v="10000"/>
    <s v="GBP"/>
    <n v="129054.96"/>
    <s v="Trish Revolu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5686289"/>
    <n v="115686289"/>
    <n v="115686289"/>
    <s v="GB57HAND40516236962610            "/>
    <s v="DEPOSIT ACCOUNT                                   "/>
  </r>
  <r>
    <n v="41475226924"/>
    <s v="C7 "/>
    <x v="21"/>
    <n v="41475226924"/>
    <d v="2026-07-18T16:28:07"/>
    <n v="115"/>
    <n v="3"/>
    <s v="           "/>
    <s v="GB"/>
    <s v="   "/>
    <n v="24510889"/>
    <n v="230163"/>
    <n v="10000"/>
    <s v="GBP"/>
    <n v="129054.96"/>
    <s v="Trish Revolu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5686289"/>
    <n v="115686289"/>
    <n v="115686289"/>
    <s v="GB57HAND40516236962610            "/>
    <s v="DEPOSIT ACCOUNT                                   "/>
  </r>
  <r>
    <n v="41475226924"/>
    <s v="C7 "/>
    <x v="23"/>
    <n v="41475226924"/>
    <d v="2026-07-18T16:28:07"/>
    <n v="115"/>
    <n v="3"/>
    <s v="           "/>
    <s v="GB"/>
    <s v="   "/>
    <n v="24510889"/>
    <n v="230163"/>
    <n v="10000"/>
    <s v="GBP"/>
    <n v="129054.96"/>
    <s v="Trish Revolu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5686289"/>
    <n v="115686289"/>
    <n v="115686289"/>
    <s v="GB57HAND40516236962610            "/>
    <s v="DEPOSIT ACCOUNT                                   "/>
  </r>
  <r>
    <n v="41478263799"/>
    <s v="C7 "/>
    <x v="23"/>
    <n v="41478263799"/>
    <d v="2026-07-20T17:12:26"/>
    <n v="115"/>
    <n v="3"/>
    <s v="RBOSGB2109X"/>
    <s v="GB"/>
    <s v="   "/>
    <n v="10273093"/>
    <n v="160039"/>
    <n v="30000"/>
    <s v="GBP"/>
    <n v="389545.21"/>
    <s v="WEDD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2593520"/>
    <n v="112593520"/>
    <n v="112593520"/>
    <s v="GB45HAND40516289978467            "/>
    <s v="CURRENT ACCOUNT                                   "/>
  </r>
  <r>
    <n v="41478879309"/>
    <s v="C7 "/>
    <x v="23"/>
    <n v="41478879309"/>
    <d v="2026-07-21T07:26:34"/>
    <n v="115"/>
    <n v="3"/>
    <s v="           "/>
    <s v="GB"/>
    <s v="   "/>
    <n v="52566295"/>
    <n v="406301"/>
    <n v="10000"/>
    <s v="GBP"/>
    <n v="129848.44"/>
    <s v="cov isa mj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17666032"/>
    <n v="117666032"/>
    <n v="117666032"/>
    <s v="GB52HAND40516269547716            "/>
    <s v="CURRENT ACCOUNT MORTGAGE                          "/>
  </r>
  <r>
    <n v="41478880110"/>
    <s v="C7 "/>
    <x v="23"/>
    <n v="41478880110"/>
    <d v="2026-07-21T07:28:06"/>
    <n v="115"/>
    <n v="3"/>
    <s v="           "/>
    <s v="GB"/>
    <s v="   "/>
    <n v="52565298"/>
    <n v="406301"/>
    <n v="10000"/>
    <s v="GBP"/>
    <n v="129848.44"/>
    <s v="cov isa rj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17666032"/>
    <n v="117666032"/>
    <n v="117666032"/>
    <s v="GB52HAND40516269547716            "/>
    <s v="CURRENT ACCOUNT MORTGAGE                          "/>
  </r>
  <r>
    <n v="41479117936"/>
    <s v="C7 "/>
    <x v="5"/>
    <n v="41479117936"/>
    <d v="2026-07-21T10:25:03"/>
    <n v="115"/>
    <n v="3"/>
    <s v="CPBKGB21PSA"/>
    <s v="GB"/>
    <s v="   "/>
    <n v="13228536"/>
    <n v="89103"/>
    <n v="20000"/>
    <s v="GBP"/>
    <n v="259696.78"/>
    <s v="Gif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15108789"/>
    <n v="115108789"/>
    <n v="115108789"/>
    <s v="GB46HAND40516236196314            "/>
    <s v="ANNE DEPOSIT ACCOUNT                              "/>
  </r>
  <r>
    <n v="41479117936"/>
    <s v="C7 "/>
    <x v="23"/>
    <n v="41479117936"/>
    <d v="2026-07-21T10:25:03"/>
    <n v="115"/>
    <n v="3"/>
    <s v="CPBKGB21PSA"/>
    <s v="GB"/>
    <s v="   "/>
    <n v="13228536"/>
    <n v="89103"/>
    <n v="20000"/>
    <s v="GBP"/>
    <n v="259696.78"/>
    <s v="Gif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15108789"/>
    <n v="115108789"/>
    <n v="115108789"/>
    <s v="GB46HAND40516236196314            "/>
    <s v="ANNE DEPOSIT ACCOUNT                              "/>
  </r>
  <r>
    <n v="41479518456"/>
    <s v="C7 "/>
    <x v="12"/>
    <n v="41479518456"/>
    <d v="2026-07-21T13:40:15"/>
    <n v="69"/>
    <n v="3"/>
    <s v="MIDLGB2196K"/>
    <s v="GB"/>
    <s v="   "/>
    <n v="24993780"/>
    <n v="403232"/>
    <n v="690000"/>
    <s v="GBP"/>
    <n v="8959539.5399999991"/>
    <s v="FL796856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5434856"/>
    <n v="105434856"/>
    <n v="105434856"/>
    <s v="GB41HAND40516289421662            "/>
    <s v="DEPOSIT ACCOUNT 2                                 "/>
  </r>
  <r>
    <n v="41479518456"/>
    <s v="C7 "/>
    <x v="23"/>
    <n v="41479518456"/>
    <d v="2026-07-21T13:40:15"/>
    <n v="69"/>
    <n v="3"/>
    <s v="MIDLGB2196K"/>
    <s v="GB"/>
    <s v="   "/>
    <n v="24993780"/>
    <n v="403232"/>
    <n v="690000"/>
    <s v="GBP"/>
    <n v="8959539.5399999991"/>
    <s v="FL796856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5434856"/>
    <n v="105434856"/>
    <n v="105434856"/>
    <s v="GB41HAND40516289421662            "/>
    <s v="DEPOSIT ACCOUNT 2                                 "/>
  </r>
  <r>
    <n v="41479581129"/>
    <s v="C7 "/>
    <x v="9"/>
    <n v="41479581129"/>
    <d v="2026-07-21T14:09:31"/>
    <n v="69"/>
    <n v="3"/>
    <s v="           "/>
    <s v="GB"/>
    <s v="   "/>
    <n v="31682626"/>
    <n v="40075"/>
    <n v="1280000"/>
    <s v="GBP"/>
    <n v="16620595.1"/>
    <s v="Rasm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3290936"/>
    <n v="113290936"/>
    <n v="113290936"/>
    <s v="GB23HAND40516265532535            "/>
    <s v="CURRENT ACCOUNT                                   "/>
  </r>
  <r>
    <n v="41479581129"/>
    <s v="C7 "/>
    <x v="15"/>
    <n v="41479581129"/>
    <d v="2026-07-21T14:09:31"/>
    <n v="69"/>
    <n v="3"/>
    <s v="           "/>
    <s v="GB"/>
    <s v="   "/>
    <n v="31682626"/>
    <n v="40075"/>
    <n v="1280000"/>
    <s v="GBP"/>
    <n v="16620595.1"/>
    <s v="Rasm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3290936"/>
    <n v="113290936"/>
    <n v="113290936"/>
    <s v="GB23HAND40516265532535            "/>
    <s v="CURRENT ACCOUNT                                   "/>
  </r>
  <r>
    <n v="41479581129"/>
    <s v="C7 "/>
    <x v="23"/>
    <n v="41479581129"/>
    <d v="2026-07-21T14:09:31"/>
    <n v="69"/>
    <n v="3"/>
    <s v="           "/>
    <s v="GB"/>
    <s v="   "/>
    <n v="31682626"/>
    <n v="40075"/>
    <n v="1280000"/>
    <s v="GBP"/>
    <n v="16620595.1"/>
    <s v="Rasm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3290936"/>
    <n v="113290936"/>
    <n v="113290936"/>
    <s v="GB23HAND40516265532535            "/>
    <s v="CURRENT ACCOUNT                                   "/>
  </r>
  <r>
    <n v="41479581129"/>
    <s v="C7 "/>
    <x v="24"/>
    <n v="41479581129"/>
    <d v="2026-07-21T14:09:31"/>
    <n v="69"/>
    <n v="3"/>
    <s v="           "/>
    <s v="GB"/>
    <s v="   "/>
    <n v="31682626"/>
    <n v="40075"/>
    <n v="1280000"/>
    <s v="GBP"/>
    <n v="16620595.1"/>
    <s v="Rasm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3290936"/>
    <n v="113290936"/>
    <n v="113290936"/>
    <s v="GB23HAND40516265532535            "/>
    <s v="CURRENT ACCOUNT                                   "/>
  </r>
  <r>
    <n v="41480028554"/>
    <s v="C7 "/>
    <x v="5"/>
    <n v="41480028554"/>
    <d v="2026-07-21T18:00:52"/>
    <n v="115"/>
    <n v="3"/>
    <s v="           "/>
    <s v="GB"/>
    <s v="   "/>
    <n v="58200138"/>
    <n v="608407"/>
    <n v="50000"/>
    <s v="GBP"/>
    <n v="649241.99"/>
    <s v="House gift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5353056"/>
    <n v="105353056"/>
    <n v="105353056"/>
    <s v="GB17HAND40516217711061            "/>
    <s v="CURRENT ACCOUNT                                   "/>
  </r>
  <r>
    <n v="41480028554"/>
    <s v="C7 "/>
    <x v="10"/>
    <n v="41480028554"/>
    <d v="2026-07-21T18:00:52"/>
    <n v="115"/>
    <n v="3"/>
    <s v="           "/>
    <s v="GB"/>
    <s v="   "/>
    <n v="58200138"/>
    <n v="608407"/>
    <n v="50000"/>
    <s v="GBP"/>
    <n v="649241.99"/>
    <s v="House gift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5353056"/>
    <n v="105353056"/>
    <n v="105353056"/>
    <s v="GB17HAND40516217711061            "/>
    <s v="CURRENT ACCOUNT                                   "/>
  </r>
  <r>
    <n v="41480028554"/>
    <s v="C7 "/>
    <x v="16"/>
    <n v="41480028554"/>
    <d v="2026-07-21T18:00:52"/>
    <n v="115"/>
    <n v="3"/>
    <s v="           "/>
    <s v="GB"/>
    <s v="   "/>
    <n v="58200138"/>
    <n v="608407"/>
    <n v="50000"/>
    <s v="GBP"/>
    <n v="649241.99"/>
    <s v="House gift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5353056"/>
    <n v="105353056"/>
    <n v="105353056"/>
    <s v="GB17HAND40516217711061            "/>
    <s v="CURRENT ACCOUNT                                   "/>
  </r>
  <r>
    <n v="41480028554"/>
    <s v="C7 "/>
    <x v="19"/>
    <n v="41480028554"/>
    <d v="2026-07-21T18:00:52"/>
    <n v="115"/>
    <n v="3"/>
    <s v="           "/>
    <s v="GB"/>
    <s v="   "/>
    <n v="58200138"/>
    <n v="608407"/>
    <n v="50000"/>
    <s v="GBP"/>
    <n v="649241.99"/>
    <s v="House gift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5353056"/>
    <n v="105353056"/>
    <n v="105353056"/>
    <s v="GB17HAND40516217711061            "/>
    <s v="CURRENT ACCOUNT                                   "/>
  </r>
  <r>
    <n v="41480028554"/>
    <s v="C7 "/>
    <x v="22"/>
    <n v="41480028554"/>
    <d v="2026-07-21T18:00:52"/>
    <n v="115"/>
    <n v="3"/>
    <s v="           "/>
    <s v="GB"/>
    <s v="   "/>
    <n v="58200138"/>
    <n v="608407"/>
    <n v="50000"/>
    <s v="GBP"/>
    <n v="649241.99"/>
    <s v="House gift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5353056"/>
    <n v="105353056"/>
    <n v="105353056"/>
    <s v="GB17HAND40516217711061            "/>
    <s v="CURRENT ACCOUNT                                   "/>
  </r>
  <r>
    <n v="41480028554"/>
    <s v="C7 "/>
    <x v="23"/>
    <n v="41480028554"/>
    <d v="2026-07-21T18:00:52"/>
    <n v="115"/>
    <n v="3"/>
    <s v="           "/>
    <s v="GB"/>
    <s v="   "/>
    <n v="58200138"/>
    <n v="608407"/>
    <n v="50000"/>
    <s v="GBP"/>
    <n v="649241.99"/>
    <s v="House gift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5353056"/>
    <n v="105353056"/>
    <n v="105353056"/>
    <s v="GB17HAND40516217711061            "/>
    <s v="CURRENT ACCOUNT                                   "/>
  </r>
  <r>
    <n v="41480028554"/>
    <s v="C7 "/>
    <x v="24"/>
    <n v="41480028554"/>
    <d v="2026-07-21T18:00:52"/>
    <n v="115"/>
    <n v="3"/>
    <s v="           "/>
    <s v="GB"/>
    <s v="   "/>
    <n v="58200138"/>
    <n v="608407"/>
    <n v="50000"/>
    <s v="GBP"/>
    <n v="649241.99"/>
    <s v="House gift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5353056"/>
    <n v="105353056"/>
    <n v="105353056"/>
    <s v="GB17HAND40516217711061            "/>
    <s v="CURRENT ACCOUNT                                   "/>
  </r>
  <r>
    <n v="41481570256"/>
    <s v="C7 "/>
    <x v="23"/>
    <n v="41481570256"/>
    <d v="2026-07-22T17:03:40"/>
    <n v="115"/>
    <n v="3"/>
    <s v="           "/>
    <s v="GB"/>
    <s v="   "/>
    <n v="22119270"/>
    <n v="70806"/>
    <n v="19990"/>
    <s v="GBP"/>
    <n v="259566.93"/>
    <s v="ToFlexPlusExHbk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OBI    "/>
    <n v="107906554"/>
    <n v="107906554"/>
    <n v="107906554"/>
    <s v="GB07HAND40516223978508            "/>
    <s v="CURRENT ACCOUNT                                   "/>
  </r>
  <r>
    <n v="41482548652"/>
    <s v="C7 "/>
    <x v="0"/>
    <n v="41482548652"/>
    <d v="2026-07-23T11:49:38"/>
    <n v="115"/>
    <n v="3"/>
    <s v="BOFSGBS1CTL"/>
    <s v="GB"/>
    <s v="   "/>
    <n v="13139066"/>
    <n v="804887"/>
    <n v="90000"/>
    <s v="GBP"/>
    <n v="1168635.6399999999"/>
    <s v="HB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35198109"/>
    <n v="135198109"/>
    <n v="135198109"/>
    <s v="GB84HAND40516224516248            "/>
    <s v="DEPOSIT ACCOUNT                                   "/>
  </r>
  <r>
    <n v="41482548652"/>
    <s v="C7 "/>
    <x v="1"/>
    <n v="41482548652"/>
    <d v="2026-07-23T11:49:38"/>
    <n v="115"/>
    <n v="3"/>
    <s v="BOFSGBS1CTL"/>
    <s v="GB"/>
    <s v="   "/>
    <n v="13139066"/>
    <n v="804887"/>
    <n v="90000"/>
    <s v="GBP"/>
    <n v="1168635.6399999999"/>
    <s v="HB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35198109"/>
    <n v="135198109"/>
    <n v="135198109"/>
    <s v="GB84HAND40516224516248            "/>
    <s v="DEPOSIT ACCOUNT                                   "/>
  </r>
  <r>
    <n v="41482548652"/>
    <s v="C7 "/>
    <x v="2"/>
    <n v="41482548652"/>
    <d v="2026-07-23T11:49:38"/>
    <n v="115"/>
    <n v="3"/>
    <s v="BOFSGBS1CTL"/>
    <s v="GB"/>
    <s v="   "/>
    <n v="13139066"/>
    <n v="804887"/>
    <n v="90000"/>
    <s v="GBP"/>
    <n v="1168635.6399999999"/>
    <s v="HB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35198109"/>
    <n v="135198109"/>
    <n v="135198109"/>
    <s v="GB84HAND40516224516248            "/>
    <s v="DEPOSIT ACCOUNT                                   "/>
  </r>
  <r>
    <n v="41482548652"/>
    <s v="C7 "/>
    <x v="10"/>
    <n v="41482548652"/>
    <d v="2026-07-23T11:49:38"/>
    <n v="115"/>
    <n v="3"/>
    <s v="BOFSGBS1CTL"/>
    <s v="GB"/>
    <s v="   "/>
    <n v="13139066"/>
    <n v="804887"/>
    <n v="90000"/>
    <s v="GBP"/>
    <n v="1168635.6399999999"/>
    <s v="HB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35198109"/>
    <n v="135198109"/>
    <n v="135198109"/>
    <s v="GB84HAND40516224516248            "/>
    <s v="DEPOSIT ACCOUNT                                   "/>
  </r>
  <r>
    <n v="41482548652"/>
    <s v="C7 "/>
    <x v="16"/>
    <n v="41482548652"/>
    <d v="2026-07-23T11:49:38"/>
    <n v="115"/>
    <n v="3"/>
    <s v="BOFSGBS1CTL"/>
    <s v="GB"/>
    <s v="   "/>
    <n v="13139066"/>
    <n v="804887"/>
    <n v="90000"/>
    <s v="GBP"/>
    <n v="1168635.6399999999"/>
    <s v="HB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35198109"/>
    <n v="135198109"/>
    <n v="135198109"/>
    <s v="GB84HAND40516224516248            "/>
    <s v="DEPOSIT ACCOUNT                                   "/>
  </r>
  <r>
    <n v="41482548652"/>
    <s v="C7 "/>
    <x v="19"/>
    <n v="41482548652"/>
    <d v="2026-07-23T11:49:38"/>
    <n v="115"/>
    <n v="3"/>
    <s v="BOFSGBS1CTL"/>
    <s v="GB"/>
    <s v="   "/>
    <n v="13139066"/>
    <n v="804887"/>
    <n v="90000"/>
    <s v="GBP"/>
    <n v="1168635.6399999999"/>
    <s v="HB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35198109"/>
    <n v="135198109"/>
    <n v="135198109"/>
    <s v="GB84HAND40516224516248            "/>
    <s v="DEPOSIT ACCOUNT                                   "/>
  </r>
  <r>
    <n v="41482548652"/>
    <s v="C7 "/>
    <x v="22"/>
    <n v="41482548652"/>
    <d v="2026-07-23T11:49:38"/>
    <n v="115"/>
    <n v="3"/>
    <s v="BOFSGBS1CTL"/>
    <s v="GB"/>
    <s v="   "/>
    <n v="13139066"/>
    <n v="804887"/>
    <n v="90000"/>
    <s v="GBP"/>
    <n v="1168635.6399999999"/>
    <s v="HB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35198109"/>
    <n v="135198109"/>
    <n v="135198109"/>
    <s v="GB84HAND40516224516248            "/>
    <s v="DEPOSIT ACCOUNT                                   "/>
  </r>
  <r>
    <n v="41482548652"/>
    <s v="C7 "/>
    <x v="23"/>
    <n v="41482548652"/>
    <d v="2026-07-23T11:49:38"/>
    <n v="115"/>
    <n v="3"/>
    <s v="BOFSGBS1CTL"/>
    <s v="GB"/>
    <s v="   "/>
    <n v="13139066"/>
    <n v="804887"/>
    <n v="90000"/>
    <s v="GBP"/>
    <n v="1168635.6399999999"/>
    <s v="HB 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35198109"/>
    <n v="135198109"/>
    <n v="135198109"/>
    <s v="GB84HAND40516224516248            "/>
    <s v="DEPOSIT ACCOUNT                                   "/>
  </r>
  <r>
    <n v="41483063386"/>
    <s v="C6 "/>
    <x v="3"/>
    <n v="41483063386"/>
    <d v="2026-07-23T15:53:26"/>
    <n v="115"/>
    <n v="3"/>
    <s v="           "/>
    <s v="GB"/>
    <s v="   "/>
    <n v="83372888"/>
    <n v="608407"/>
    <n v="80000"/>
    <s v="GBP"/>
    <n v="1038787.21"/>
    <s v="TVR payment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2720485"/>
    <n v="122720485"/>
    <n v="122720485"/>
    <s v="GB47HAND40516224759996            "/>
    <s v="CURRENT ACCOUNT                                   "/>
  </r>
  <r>
    <n v="41483063386"/>
    <s v="C6 "/>
    <x v="5"/>
    <n v="41483063386"/>
    <d v="2026-07-23T15:53:26"/>
    <n v="115"/>
    <n v="3"/>
    <s v="           "/>
    <s v="GB"/>
    <s v="   "/>
    <n v="83372888"/>
    <n v="608407"/>
    <n v="80000"/>
    <s v="GBP"/>
    <n v="1038787.21"/>
    <s v="TVR payment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2720485"/>
    <n v="122720485"/>
    <n v="122720485"/>
    <s v="GB47HAND40516224759996            "/>
    <s v="CURRENT ACCOUNT                                   "/>
  </r>
  <r>
    <n v="41483063386"/>
    <s v="C6 "/>
    <x v="10"/>
    <n v="41483063386"/>
    <d v="2026-07-23T15:53:26"/>
    <n v="115"/>
    <n v="3"/>
    <s v="           "/>
    <s v="GB"/>
    <s v="   "/>
    <n v="83372888"/>
    <n v="608407"/>
    <n v="80000"/>
    <s v="GBP"/>
    <n v="1038787.21"/>
    <s v="TVR payment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2720485"/>
    <n v="122720485"/>
    <n v="122720485"/>
    <s v="GB47HAND40516224759996            "/>
    <s v="CURRENT ACCOUNT                                   "/>
  </r>
  <r>
    <n v="41483063386"/>
    <s v="C6 "/>
    <x v="16"/>
    <n v="41483063386"/>
    <d v="2026-07-23T15:53:26"/>
    <n v="115"/>
    <n v="3"/>
    <s v="           "/>
    <s v="GB"/>
    <s v="   "/>
    <n v="83372888"/>
    <n v="608407"/>
    <n v="80000"/>
    <s v="GBP"/>
    <n v="1038787.21"/>
    <s v="TVR payment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2720485"/>
    <n v="122720485"/>
    <n v="122720485"/>
    <s v="GB47HAND40516224759996            "/>
    <s v="CURRENT ACCOUNT                                   "/>
  </r>
  <r>
    <n v="41483063386"/>
    <s v="C6 "/>
    <x v="19"/>
    <n v="41483063386"/>
    <d v="2026-07-23T15:53:26"/>
    <n v="115"/>
    <n v="3"/>
    <s v="           "/>
    <s v="GB"/>
    <s v="   "/>
    <n v="83372888"/>
    <n v="608407"/>
    <n v="80000"/>
    <s v="GBP"/>
    <n v="1038787.21"/>
    <s v="TVR payment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2720485"/>
    <n v="122720485"/>
    <n v="122720485"/>
    <s v="GB47HAND40516224759996            "/>
    <s v="CURRENT ACCOUNT                                   "/>
  </r>
  <r>
    <n v="41483063386"/>
    <s v="C6 "/>
    <x v="21"/>
    <n v="41483063386"/>
    <d v="2026-07-23T15:53:26"/>
    <n v="115"/>
    <n v="3"/>
    <s v="           "/>
    <s v="GB"/>
    <s v="   "/>
    <n v="83372888"/>
    <n v="608407"/>
    <n v="80000"/>
    <s v="GBP"/>
    <n v="1038787.21"/>
    <s v="TVR payment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2720485"/>
    <n v="122720485"/>
    <n v="122720485"/>
    <s v="GB47HAND40516224759996            "/>
    <s v="CURRENT ACCOUNT                                   "/>
  </r>
  <r>
    <n v="41483063386"/>
    <s v="C6 "/>
    <x v="22"/>
    <n v="41483063386"/>
    <d v="2026-07-23T15:53:26"/>
    <n v="115"/>
    <n v="3"/>
    <s v="           "/>
    <s v="GB"/>
    <s v="   "/>
    <n v="83372888"/>
    <n v="608407"/>
    <n v="80000"/>
    <s v="GBP"/>
    <n v="1038787.21"/>
    <s v="TVR payment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2720485"/>
    <n v="122720485"/>
    <n v="122720485"/>
    <s v="GB47HAND40516224759996            "/>
    <s v="CURRENT ACCOUNT                                   "/>
  </r>
  <r>
    <n v="41483063386"/>
    <s v="C6 "/>
    <x v="23"/>
    <n v="41483063386"/>
    <d v="2026-07-23T15:53:26"/>
    <n v="115"/>
    <n v="3"/>
    <s v="           "/>
    <s v="GB"/>
    <s v="   "/>
    <n v="83372888"/>
    <n v="608407"/>
    <n v="80000"/>
    <s v="GBP"/>
    <n v="1038787.21"/>
    <s v="TVR payment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2720485"/>
    <n v="122720485"/>
    <n v="122720485"/>
    <s v="GB47HAND40516224759996            "/>
    <s v="CURRENT ACCOUNT                                   "/>
  </r>
  <r>
    <n v="41483063386"/>
    <s v="C6 "/>
    <x v="24"/>
    <n v="41483063386"/>
    <d v="2026-07-23T15:53:26"/>
    <n v="115"/>
    <n v="3"/>
    <s v="           "/>
    <s v="GB"/>
    <s v="   "/>
    <n v="83372888"/>
    <n v="608407"/>
    <n v="80000"/>
    <s v="GBP"/>
    <n v="1038787.21"/>
    <s v="TVR payment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22720485"/>
    <n v="122720485"/>
    <n v="122720485"/>
    <s v="GB47HAND40516224759996            "/>
    <s v="CURRENT ACCOUNT                                   "/>
  </r>
  <r>
    <n v="41483244960"/>
    <s v="C8 "/>
    <x v="5"/>
    <n v="41483244960"/>
    <d v="2026-07-23T17:27:24"/>
    <n v="115"/>
    <n v="3"/>
    <s v="           "/>
    <s v="GB"/>
    <s v="   "/>
    <n v="17554591"/>
    <n v="40339"/>
    <n v="50000"/>
    <s v="GBP"/>
    <n v="649241.99"/>
    <s v="From Cahoot sav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5870745"/>
    <n v="105870745"/>
    <n v="105870745"/>
    <s v="GB18HAND40516288234505            "/>
    <s v="CURRENT ACCOUNT                                   "/>
  </r>
  <r>
    <n v="41483244960"/>
    <s v="C8 "/>
    <x v="16"/>
    <n v="41483244960"/>
    <d v="2026-07-23T17:27:24"/>
    <n v="115"/>
    <n v="3"/>
    <s v="           "/>
    <s v="GB"/>
    <s v="   "/>
    <n v="17554591"/>
    <n v="40339"/>
    <n v="50000"/>
    <s v="GBP"/>
    <n v="649241.99"/>
    <s v="From Cahoot sav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5870745"/>
    <n v="105870745"/>
    <n v="105870745"/>
    <s v="GB18HAND40516288234505            "/>
    <s v="CURRENT ACCOUNT                                   "/>
  </r>
  <r>
    <n v="41483244960"/>
    <s v="C8 "/>
    <x v="22"/>
    <n v="41483244960"/>
    <d v="2026-07-23T17:27:24"/>
    <n v="115"/>
    <n v="3"/>
    <s v="           "/>
    <s v="GB"/>
    <s v="   "/>
    <n v="17554591"/>
    <n v="40339"/>
    <n v="50000"/>
    <s v="GBP"/>
    <n v="649241.99"/>
    <s v="From Cahoot sav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5870745"/>
    <n v="105870745"/>
    <n v="105870745"/>
    <s v="GB18HAND40516288234505            "/>
    <s v="CURRENT ACCOUNT                                   "/>
  </r>
  <r>
    <n v="41483244960"/>
    <s v="C8 "/>
    <x v="23"/>
    <n v="41483244960"/>
    <d v="2026-07-23T17:27:24"/>
    <n v="115"/>
    <n v="3"/>
    <s v="           "/>
    <s v="GB"/>
    <s v="   "/>
    <n v="17554591"/>
    <n v="40339"/>
    <n v="50000"/>
    <s v="GBP"/>
    <n v="649241.99"/>
    <s v="From Cahoot sav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05870745"/>
    <n v="105870745"/>
    <n v="105870745"/>
    <s v="GB18HAND40516288234505            "/>
    <s v="CURRENT ACCOUNT                                   "/>
  </r>
  <r>
    <n v="41483254891"/>
    <s v="C7 "/>
    <x v="3"/>
    <n v="41483254891"/>
    <d v="2026-07-23T17:32:42"/>
    <n v="115"/>
    <n v="3"/>
    <s v="           "/>
    <s v="GB"/>
    <s v="   "/>
    <n v="73114139"/>
    <n v="406437"/>
    <n v="100000"/>
    <s v="GBP"/>
    <n v="1298483.98"/>
    <s v="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9228773"/>
    <n v="119228773"/>
    <n v="119228773"/>
    <s v="GB89HAND40516214461623            "/>
    <s v="DEPOSIT ACCOUNT                                   "/>
  </r>
  <r>
    <n v="41483254891"/>
    <s v="C7 "/>
    <x v="10"/>
    <n v="41483254891"/>
    <d v="2026-07-23T17:32:42"/>
    <n v="115"/>
    <n v="3"/>
    <s v="           "/>
    <s v="GB"/>
    <s v="   "/>
    <n v="73114139"/>
    <n v="406437"/>
    <n v="100000"/>
    <s v="GBP"/>
    <n v="1298483.98"/>
    <s v="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9228773"/>
    <n v="119228773"/>
    <n v="119228773"/>
    <s v="GB89HAND40516214461623            "/>
    <s v="DEPOSIT ACCOUNT                                   "/>
  </r>
  <r>
    <n v="41483254891"/>
    <s v="C7 "/>
    <x v="16"/>
    <n v="41483254891"/>
    <d v="2026-07-23T17:32:42"/>
    <n v="115"/>
    <n v="3"/>
    <s v="           "/>
    <s v="GB"/>
    <s v="   "/>
    <n v="73114139"/>
    <n v="406437"/>
    <n v="100000"/>
    <s v="GBP"/>
    <n v="1298483.98"/>
    <s v="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9228773"/>
    <n v="119228773"/>
    <n v="119228773"/>
    <s v="GB89HAND40516214461623            "/>
    <s v="DEPOSIT ACCOUNT                                   "/>
  </r>
  <r>
    <n v="41483254891"/>
    <s v="C7 "/>
    <x v="19"/>
    <n v="41483254891"/>
    <d v="2026-07-23T17:32:42"/>
    <n v="115"/>
    <n v="3"/>
    <s v="           "/>
    <s v="GB"/>
    <s v="   "/>
    <n v="73114139"/>
    <n v="406437"/>
    <n v="100000"/>
    <s v="GBP"/>
    <n v="1298483.98"/>
    <s v="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9228773"/>
    <n v="119228773"/>
    <n v="119228773"/>
    <s v="GB89HAND40516214461623            "/>
    <s v="DEPOSIT ACCOUNT                                   "/>
  </r>
  <r>
    <n v="41483254891"/>
    <s v="C7 "/>
    <x v="22"/>
    <n v="41483254891"/>
    <d v="2026-07-23T17:32:42"/>
    <n v="115"/>
    <n v="3"/>
    <s v="           "/>
    <s v="GB"/>
    <s v="   "/>
    <n v="73114139"/>
    <n v="406437"/>
    <n v="100000"/>
    <s v="GBP"/>
    <n v="1298483.98"/>
    <s v="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9228773"/>
    <n v="119228773"/>
    <n v="119228773"/>
    <s v="GB89HAND40516214461623            "/>
    <s v="DEPOSIT ACCOUNT                                   "/>
  </r>
  <r>
    <n v="41483254891"/>
    <s v="C7 "/>
    <x v="23"/>
    <n v="41483254891"/>
    <d v="2026-07-23T17:32:42"/>
    <n v="115"/>
    <n v="3"/>
    <s v="           "/>
    <s v="GB"/>
    <s v="   "/>
    <n v="73114139"/>
    <n v="406437"/>
    <n v="100000"/>
    <s v="GBP"/>
    <n v="1298483.98"/>
    <s v="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9228773"/>
    <n v="119228773"/>
    <n v="119228773"/>
    <s v="GB89HAND40516214461623            "/>
    <s v="DEPOSIT ACCOUNT                                   "/>
  </r>
  <r>
    <n v="41483254891"/>
    <s v="C7 "/>
    <x v="24"/>
    <n v="41483254891"/>
    <d v="2026-07-23T17:32:42"/>
    <n v="115"/>
    <n v="3"/>
    <s v="           "/>
    <s v="GB"/>
    <s v="   "/>
    <n v="73114139"/>
    <n v="406437"/>
    <n v="100000"/>
    <s v="GBP"/>
    <n v="1298483.98"/>
    <s v="Trans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INET    "/>
    <n v="119228773"/>
    <n v="119228773"/>
    <n v="119228773"/>
    <s v="GB89HAND40516214461623            "/>
    <s v="DEPOSIT ACCOUNT                                   "/>
  </r>
  <r>
    <m/>
    <m/>
    <x v="26"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32E4D0-185F-4C52-B229-0FB695494F79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1" firstHeaderRow="1" firstDataRow="1" firstDataCol="1"/>
  <pivotFields count="22">
    <pivotField dataField="1" showAll="0"/>
    <pivotField showAll="0"/>
    <pivotField axis="axisRow" showAll="0" sortType="descending">
      <items count="30"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5"/>
        <item x="16"/>
        <item m="1" x="27"/>
        <item x="17"/>
        <item x="18"/>
        <item x="19"/>
        <item m="1" x="28"/>
        <item x="20"/>
        <item x="21"/>
        <item x="22"/>
        <item x="23"/>
        <item x="24"/>
        <item x="25"/>
        <item x="26"/>
        <item x="7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8">
    <i>
      <x v="23"/>
    </i>
    <i>
      <x v="22"/>
    </i>
    <i>
      <x v="14"/>
    </i>
    <i>
      <x v="5"/>
    </i>
    <i>
      <x v="18"/>
    </i>
    <i>
      <x v="24"/>
    </i>
    <i>
      <x v="9"/>
    </i>
    <i>
      <x v="21"/>
    </i>
    <i>
      <x v="20"/>
    </i>
    <i>
      <x v="25"/>
    </i>
    <i>
      <x v="3"/>
    </i>
    <i>
      <x v="1"/>
    </i>
    <i>
      <x v="2"/>
    </i>
    <i>
      <x/>
    </i>
    <i>
      <x v="11"/>
    </i>
    <i>
      <x v="6"/>
    </i>
    <i>
      <x v="17"/>
    </i>
    <i>
      <x v="13"/>
    </i>
    <i>
      <x v="27"/>
    </i>
    <i>
      <x v="4"/>
    </i>
    <i>
      <x v="8"/>
    </i>
    <i>
      <x v="16"/>
    </i>
    <i>
      <x v="12"/>
    </i>
    <i>
      <x v="10"/>
    </i>
    <i>
      <x v="28"/>
    </i>
    <i>
      <x v="7"/>
    </i>
    <i>
      <x v="26"/>
    </i>
    <i t="grand">
      <x/>
    </i>
  </rowItems>
  <colItems count="1">
    <i/>
  </colItems>
  <dataFields count="1">
    <dataField name="Count of TXNID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55F99-D24F-4144-A217-C47D131489BC}">
  <dimension ref="A1:L66"/>
  <sheetViews>
    <sheetView tabSelected="1" workbookViewId="0">
      <selection activeCell="L17" sqref="L17"/>
    </sheetView>
  </sheetViews>
  <sheetFormatPr defaultRowHeight="12.5" x14ac:dyDescent="0.25"/>
  <cols>
    <col min="1" max="1" width="9.90625" style="4" bestFit="1" customWidth="1"/>
    <col min="2" max="2" width="8.90625" style="4" bestFit="1" customWidth="1"/>
    <col min="3" max="3" width="8.1796875" style="4" bestFit="1" customWidth="1"/>
    <col min="4" max="4" width="10.1796875" style="4" bestFit="1" customWidth="1"/>
    <col min="9" max="9" width="9.90625" bestFit="1" customWidth="1"/>
    <col min="10" max="10" width="8.90625" bestFit="1" customWidth="1"/>
    <col min="11" max="11" width="8.1796875" bestFit="1" customWidth="1"/>
    <col min="12" max="12" width="10.1796875" bestFit="1" customWidth="1"/>
  </cols>
  <sheetData>
    <row r="1" spans="1:12" x14ac:dyDescent="0.25">
      <c r="A1" s="6" t="s">
        <v>0</v>
      </c>
      <c r="B1" s="4" t="s">
        <v>1</v>
      </c>
      <c r="C1" s="4" t="s">
        <v>262</v>
      </c>
      <c r="D1" s="4" t="s">
        <v>263</v>
      </c>
      <c r="I1" s="4" t="s">
        <v>0</v>
      </c>
      <c r="J1" s="4" t="s">
        <v>1</v>
      </c>
      <c r="K1" s="4" t="s">
        <v>262</v>
      </c>
      <c r="L1" s="4" t="s">
        <v>263</v>
      </c>
    </row>
    <row r="2" spans="1:12" x14ac:dyDescent="0.25">
      <c r="A2" s="6">
        <v>46243</v>
      </c>
      <c r="B2" s="4">
        <v>1</v>
      </c>
      <c r="C2" s="4">
        <v>1</v>
      </c>
      <c r="D2" s="7">
        <f t="shared" ref="D2:D18" si="0">C2/B2</f>
        <v>1</v>
      </c>
      <c r="I2" s="6">
        <v>46244</v>
      </c>
      <c r="J2" s="4">
        <v>1</v>
      </c>
      <c r="K2" s="4">
        <v>1</v>
      </c>
      <c r="L2" s="7">
        <f>K2/J2</f>
        <v>1</v>
      </c>
    </row>
    <row r="3" spans="1:12" x14ac:dyDescent="0.25">
      <c r="A3" s="6">
        <v>46241</v>
      </c>
      <c r="B3" s="4">
        <v>5</v>
      </c>
      <c r="C3" s="4">
        <v>5</v>
      </c>
      <c r="D3" s="7">
        <f t="shared" si="0"/>
        <v>1</v>
      </c>
      <c r="I3" s="6">
        <v>46241</v>
      </c>
      <c r="J3" s="4">
        <v>3</v>
      </c>
      <c r="K3" s="4">
        <v>0</v>
      </c>
      <c r="L3" s="7">
        <f t="shared" ref="L3:L15" si="1">K3/J3</f>
        <v>0</v>
      </c>
    </row>
    <row r="4" spans="1:12" x14ac:dyDescent="0.25">
      <c r="A4" s="6">
        <v>46240</v>
      </c>
      <c r="B4" s="4">
        <v>8</v>
      </c>
      <c r="C4" s="4">
        <v>5</v>
      </c>
      <c r="D4" s="7">
        <f t="shared" si="0"/>
        <v>0.625</v>
      </c>
      <c r="I4" s="6">
        <v>46240</v>
      </c>
      <c r="J4" s="4">
        <v>2</v>
      </c>
      <c r="K4" s="4">
        <v>0</v>
      </c>
      <c r="L4" s="7">
        <f t="shared" si="1"/>
        <v>0</v>
      </c>
    </row>
    <row r="5" spans="1:12" x14ac:dyDescent="0.25">
      <c r="A5" s="6">
        <v>46239</v>
      </c>
      <c r="B5" s="4">
        <v>6</v>
      </c>
      <c r="C5" s="4">
        <v>5</v>
      </c>
      <c r="D5" s="7">
        <f t="shared" si="0"/>
        <v>0.83333333333333337</v>
      </c>
      <c r="I5" s="6">
        <v>46239</v>
      </c>
      <c r="J5" s="4">
        <v>2</v>
      </c>
      <c r="K5" s="4">
        <v>0</v>
      </c>
      <c r="L5" s="7">
        <f t="shared" si="1"/>
        <v>0</v>
      </c>
    </row>
    <row r="6" spans="1:12" x14ac:dyDescent="0.25">
      <c r="A6" s="6">
        <v>46238</v>
      </c>
      <c r="B6" s="4">
        <v>7</v>
      </c>
      <c r="C6" s="4">
        <v>5</v>
      </c>
      <c r="D6" s="7">
        <f t="shared" si="0"/>
        <v>0.7142857142857143</v>
      </c>
      <c r="I6" s="6">
        <v>46238</v>
      </c>
      <c r="J6" s="4">
        <v>1</v>
      </c>
      <c r="K6" s="4">
        <v>0</v>
      </c>
      <c r="L6" s="7">
        <f t="shared" si="1"/>
        <v>0</v>
      </c>
    </row>
    <row r="7" spans="1:12" x14ac:dyDescent="0.25">
      <c r="A7" s="6">
        <v>46237</v>
      </c>
      <c r="B7" s="4">
        <v>5</v>
      </c>
      <c r="C7" s="4">
        <v>2</v>
      </c>
      <c r="D7" s="7">
        <f t="shared" si="0"/>
        <v>0.4</v>
      </c>
      <c r="I7" s="6">
        <v>46234</v>
      </c>
      <c r="J7" s="4">
        <v>19</v>
      </c>
      <c r="K7" s="4">
        <v>7</v>
      </c>
      <c r="L7" s="7">
        <f t="shared" si="1"/>
        <v>0.36842105263157893</v>
      </c>
    </row>
    <row r="8" spans="1:12" x14ac:dyDescent="0.25">
      <c r="A8" s="6">
        <v>46236</v>
      </c>
      <c r="B8" s="4">
        <v>2</v>
      </c>
      <c r="C8" s="4">
        <v>1</v>
      </c>
      <c r="D8" s="7">
        <f t="shared" si="0"/>
        <v>0.5</v>
      </c>
      <c r="I8" s="6">
        <v>46233</v>
      </c>
      <c r="J8" s="4">
        <v>3</v>
      </c>
      <c r="K8" s="4">
        <v>0</v>
      </c>
      <c r="L8" s="7">
        <f t="shared" si="1"/>
        <v>0</v>
      </c>
    </row>
    <row r="9" spans="1:12" x14ac:dyDescent="0.25">
      <c r="A9" s="6">
        <v>46235</v>
      </c>
      <c r="B9" s="4">
        <v>4</v>
      </c>
      <c r="C9" s="4">
        <v>3</v>
      </c>
      <c r="D9" s="7">
        <f t="shared" si="0"/>
        <v>0.75</v>
      </c>
      <c r="I9" s="6">
        <v>46232</v>
      </c>
      <c r="J9" s="4">
        <v>1</v>
      </c>
      <c r="K9" s="4">
        <v>1</v>
      </c>
      <c r="L9" s="7">
        <f t="shared" si="1"/>
        <v>1</v>
      </c>
    </row>
    <row r="10" spans="1:12" x14ac:dyDescent="0.25">
      <c r="A10" s="6">
        <v>46234</v>
      </c>
      <c r="B10" s="4">
        <v>4</v>
      </c>
      <c r="C10" s="4">
        <v>2</v>
      </c>
      <c r="D10" s="7">
        <f t="shared" si="0"/>
        <v>0.5</v>
      </c>
      <c r="I10" s="6">
        <v>46230</v>
      </c>
      <c r="J10" s="4">
        <v>8</v>
      </c>
      <c r="K10" s="4">
        <v>2</v>
      </c>
      <c r="L10" s="7">
        <f t="shared" si="1"/>
        <v>0.25</v>
      </c>
    </row>
    <row r="11" spans="1:12" x14ac:dyDescent="0.25">
      <c r="A11" s="6">
        <v>46233</v>
      </c>
      <c r="B11" s="4">
        <v>4</v>
      </c>
      <c r="C11" s="4">
        <v>3</v>
      </c>
      <c r="D11" s="7">
        <f t="shared" si="0"/>
        <v>0.75</v>
      </c>
      <c r="I11" s="6">
        <v>46220</v>
      </c>
      <c r="J11" s="4">
        <v>4</v>
      </c>
      <c r="K11" s="4">
        <v>0</v>
      </c>
      <c r="L11" s="7">
        <f t="shared" si="1"/>
        <v>0</v>
      </c>
    </row>
    <row r="12" spans="1:12" x14ac:dyDescent="0.25">
      <c r="A12" s="6">
        <v>46232</v>
      </c>
      <c r="B12" s="4">
        <v>4</v>
      </c>
      <c r="C12" s="4">
        <v>3</v>
      </c>
      <c r="D12" s="7">
        <f t="shared" si="0"/>
        <v>0.75</v>
      </c>
      <c r="I12" s="6">
        <v>46216</v>
      </c>
      <c r="J12" s="4">
        <v>1</v>
      </c>
      <c r="K12" s="4">
        <v>0</v>
      </c>
      <c r="L12" s="7">
        <f t="shared" si="1"/>
        <v>0</v>
      </c>
    </row>
    <row r="13" spans="1:12" x14ac:dyDescent="0.25">
      <c r="A13" s="6">
        <v>46231</v>
      </c>
      <c r="B13" s="4">
        <v>8</v>
      </c>
      <c r="C13" s="4">
        <v>6</v>
      </c>
      <c r="D13" s="7">
        <f t="shared" si="0"/>
        <v>0.75</v>
      </c>
      <c r="I13" s="6">
        <v>46213</v>
      </c>
      <c r="J13" s="4">
        <v>4</v>
      </c>
      <c r="K13" s="4">
        <v>0</v>
      </c>
      <c r="L13" s="7">
        <f t="shared" si="1"/>
        <v>0</v>
      </c>
    </row>
    <row r="14" spans="1:12" x14ac:dyDescent="0.25">
      <c r="A14" s="6">
        <v>46230</v>
      </c>
      <c r="B14" s="4">
        <v>2</v>
      </c>
      <c r="C14" s="4">
        <v>1</v>
      </c>
      <c r="D14" s="7">
        <f t="shared" si="0"/>
        <v>0.5</v>
      </c>
      <c r="I14" s="6">
        <v>46206</v>
      </c>
      <c r="J14" s="4">
        <v>4</v>
      </c>
      <c r="K14" s="4">
        <v>0</v>
      </c>
      <c r="L14" s="7">
        <f t="shared" si="1"/>
        <v>0</v>
      </c>
    </row>
    <row r="15" spans="1:12" x14ac:dyDescent="0.25">
      <c r="A15" s="6">
        <v>46229</v>
      </c>
      <c r="B15" s="4">
        <v>1</v>
      </c>
      <c r="C15" s="4">
        <v>1</v>
      </c>
      <c r="D15" s="7">
        <f t="shared" si="0"/>
        <v>1</v>
      </c>
      <c r="I15" s="6">
        <v>46205</v>
      </c>
      <c r="J15" s="4">
        <v>2</v>
      </c>
      <c r="K15" s="4">
        <v>0</v>
      </c>
      <c r="L15" s="7">
        <f t="shared" si="1"/>
        <v>0</v>
      </c>
    </row>
    <row r="16" spans="1:12" x14ac:dyDescent="0.25">
      <c r="A16" s="6">
        <v>46228</v>
      </c>
      <c r="B16" s="4">
        <v>1</v>
      </c>
      <c r="C16" s="4">
        <v>0</v>
      </c>
      <c r="D16" s="7">
        <f t="shared" si="0"/>
        <v>0</v>
      </c>
      <c r="L16" s="8">
        <f>AVERAGE(L2:L15)</f>
        <v>0.18703007518796991</v>
      </c>
    </row>
    <row r="17" spans="1:4" x14ac:dyDescent="0.25">
      <c r="A17" s="6">
        <v>46227</v>
      </c>
      <c r="B17" s="4">
        <v>9</v>
      </c>
      <c r="C17" s="4">
        <v>7</v>
      </c>
      <c r="D17" s="7">
        <f t="shared" si="0"/>
        <v>0.77777777777777779</v>
      </c>
    </row>
    <row r="18" spans="1:4" x14ac:dyDescent="0.25">
      <c r="A18" s="6">
        <v>46226</v>
      </c>
      <c r="B18" s="4">
        <v>7</v>
      </c>
      <c r="C18" s="4">
        <v>5</v>
      </c>
      <c r="D18" s="7">
        <f t="shared" si="0"/>
        <v>0.7142857142857143</v>
      </c>
    </row>
    <row r="19" spans="1:4" x14ac:dyDescent="0.25">
      <c r="A19" s="6">
        <v>46225</v>
      </c>
      <c r="B19" s="4">
        <v>1</v>
      </c>
      <c r="C19" s="4">
        <v>0</v>
      </c>
      <c r="D19" s="7">
        <f t="shared" ref="D19:D66" si="2">C19/B19</f>
        <v>0</v>
      </c>
    </row>
    <row r="20" spans="1:4" x14ac:dyDescent="0.25">
      <c r="A20" s="6">
        <v>46224</v>
      </c>
      <c r="B20" s="4">
        <v>6</v>
      </c>
      <c r="C20" s="4">
        <v>4</v>
      </c>
      <c r="D20" s="7">
        <f t="shared" si="2"/>
        <v>0.66666666666666663</v>
      </c>
    </row>
    <row r="21" spans="1:4" x14ac:dyDescent="0.25">
      <c r="A21" s="6">
        <v>46223</v>
      </c>
      <c r="B21" s="4">
        <v>1</v>
      </c>
      <c r="C21" s="4">
        <v>0</v>
      </c>
      <c r="D21" s="7">
        <f t="shared" si="2"/>
        <v>0</v>
      </c>
    </row>
    <row r="22" spans="1:4" x14ac:dyDescent="0.25">
      <c r="A22" s="6">
        <v>46221</v>
      </c>
      <c r="B22" s="4">
        <v>1</v>
      </c>
      <c r="C22" s="4">
        <v>1</v>
      </c>
      <c r="D22" s="7">
        <f t="shared" si="2"/>
        <v>1</v>
      </c>
    </row>
    <row r="23" spans="1:4" x14ac:dyDescent="0.25">
      <c r="A23" s="6">
        <v>46220</v>
      </c>
      <c r="B23" s="4">
        <v>9</v>
      </c>
      <c r="C23" s="4">
        <v>7</v>
      </c>
      <c r="D23" s="7">
        <f t="shared" si="2"/>
        <v>0.77777777777777779</v>
      </c>
    </row>
    <row r="24" spans="1:4" x14ac:dyDescent="0.25">
      <c r="A24" s="6">
        <v>46219</v>
      </c>
      <c r="B24" s="4">
        <v>2</v>
      </c>
      <c r="C24" s="4">
        <v>2</v>
      </c>
      <c r="D24" s="7">
        <f t="shared" si="2"/>
        <v>1</v>
      </c>
    </row>
    <row r="25" spans="1:4" x14ac:dyDescent="0.25">
      <c r="A25" s="6">
        <v>46218</v>
      </c>
      <c r="B25" s="4">
        <v>3</v>
      </c>
      <c r="C25" s="4">
        <v>3</v>
      </c>
      <c r="D25" s="7">
        <f t="shared" si="2"/>
        <v>1</v>
      </c>
    </row>
    <row r="26" spans="1:4" x14ac:dyDescent="0.25">
      <c r="A26" s="6">
        <v>46217</v>
      </c>
      <c r="B26" s="4">
        <v>1</v>
      </c>
      <c r="C26" s="4">
        <v>1</v>
      </c>
      <c r="D26" s="7">
        <f t="shared" si="2"/>
        <v>1</v>
      </c>
    </row>
    <row r="27" spans="1:4" x14ac:dyDescent="0.25">
      <c r="A27" s="6">
        <v>46216</v>
      </c>
      <c r="B27" s="4">
        <v>5</v>
      </c>
      <c r="C27" s="4">
        <v>5</v>
      </c>
      <c r="D27" s="7">
        <f t="shared" si="2"/>
        <v>1</v>
      </c>
    </row>
    <row r="28" spans="1:4" x14ac:dyDescent="0.25">
      <c r="A28" s="6">
        <v>46214</v>
      </c>
      <c r="B28" s="4">
        <v>7</v>
      </c>
      <c r="C28" s="4">
        <v>7</v>
      </c>
      <c r="D28" s="7">
        <f t="shared" si="2"/>
        <v>1</v>
      </c>
    </row>
    <row r="29" spans="1:4" x14ac:dyDescent="0.25">
      <c r="A29" s="6">
        <v>46213</v>
      </c>
      <c r="B29" s="4">
        <v>9</v>
      </c>
      <c r="C29" s="4">
        <v>8</v>
      </c>
      <c r="D29" s="7">
        <f t="shared" si="2"/>
        <v>0.88888888888888884</v>
      </c>
    </row>
    <row r="30" spans="1:4" x14ac:dyDescent="0.25">
      <c r="A30" s="6">
        <v>46212</v>
      </c>
      <c r="B30" s="4">
        <v>1</v>
      </c>
      <c r="C30" s="4">
        <v>1</v>
      </c>
      <c r="D30" s="7">
        <f t="shared" si="2"/>
        <v>1</v>
      </c>
    </row>
    <row r="31" spans="1:4" x14ac:dyDescent="0.25">
      <c r="A31" s="6">
        <v>46211</v>
      </c>
      <c r="B31" s="4">
        <v>8</v>
      </c>
      <c r="C31" s="4">
        <v>7</v>
      </c>
      <c r="D31" s="7">
        <f t="shared" si="2"/>
        <v>0.875</v>
      </c>
    </row>
    <row r="32" spans="1:4" x14ac:dyDescent="0.25">
      <c r="A32" s="6">
        <v>46210</v>
      </c>
      <c r="B32" s="4">
        <v>4</v>
      </c>
      <c r="C32" s="4">
        <v>4</v>
      </c>
      <c r="D32" s="7">
        <f t="shared" si="2"/>
        <v>1</v>
      </c>
    </row>
    <row r="33" spans="1:4" x14ac:dyDescent="0.25">
      <c r="A33" s="6">
        <v>46209</v>
      </c>
      <c r="B33" s="4">
        <v>4</v>
      </c>
      <c r="C33" s="4">
        <v>4</v>
      </c>
      <c r="D33" s="7">
        <f t="shared" si="2"/>
        <v>1</v>
      </c>
    </row>
    <row r="34" spans="1:4" x14ac:dyDescent="0.25">
      <c r="A34" s="6">
        <v>46207</v>
      </c>
      <c r="B34" s="4">
        <v>5</v>
      </c>
      <c r="C34" s="4">
        <v>3</v>
      </c>
      <c r="D34" s="7">
        <f t="shared" si="2"/>
        <v>0.6</v>
      </c>
    </row>
    <row r="35" spans="1:4" x14ac:dyDescent="0.25">
      <c r="A35" s="6">
        <v>46206</v>
      </c>
      <c r="B35" s="4">
        <v>12</v>
      </c>
      <c r="C35" s="4">
        <v>11</v>
      </c>
      <c r="D35" s="7">
        <f t="shared" si="2"/>
        <v>0.91666666666666663</v>
      </c>
    </row>
    <row r="36" spans="1:4" x14ac:dyDescent="0.25">
      <c r="A36" s="6">
        <v>46205</v>
      </c>
      <c r="B36" s="4">
        <v>5</v>
      </c>
      <c r="C36" s="4">
        <v>4</v>
      </c>
      <c r="D36" s="7">
        <f t="shared" si="2"/>
        <v>0.8</v>
      </c>
    </row>
    <row r="37" spans="1:4" x14ac:dyDescent="0.25">
      <c r="A37" s="6">
        <v>46204</v>
      </c>
      <c r="B37" s="4">
        <v>14</v>
      </c>
      <c r="C37" s="4">
        <v>10</v>
      </c>
      <c r="D37" s="7">
        <f t="shared" si="2"/>
        <v>0.7142857142857143</v>
      </c>
    </row>
    <row r="38" spans="1:4" x14ac:dyDescent="0.25">
      <c r="A38" s="6">
        <v>46203</v>
      </c>
      <c r="B38" s="4">
        <v>6</v>
      </c>
      <c r="C38" s="4">
        <v>3</v>
      </c>
      <c r="D38" s="7">
        <f t="shared" si="2"/>
        <v>0.5</v>
      </c>
    </row>
    <row r="39" spans="1:4" x14ac:dyDescent="0.25">
      <c r="A39" s="6">
        <v>46202</v>
      </c>
      <c r="B39" s="4">
        <v>5</v>
      </c>
      <c r="C39" s="4">
        <v>4</v>
      </c>
      <c r="D39" s="7">
        <f t="shared" si="2"/>
        <v>0.8</v>
      </c>
    </row>
    <row r="40" spans="1:4" x14ac:dyDescent="0.25">
      <c r="A40" s="6">
        <v>46201</v>
      </c>
      <c r="B40" s="4">
        <v>5</v>
      </c>
      <c r="C40" s="4">
        <v>5</v>
      </c>
      <c r="D40" s="7">
        <f t="shared" si="2"/>
        <v>1</v>
      </c>
    </row>
    <row r="41" spans="1:4" x14ac:dyDescent="0.25">
      <c r="A41" s="6">
        <v>46200</v>
      </c>
      <c r="B41" s="4">
        <v>1</v>
      </c>
      <c r="C41" s="4">
        <v>0</v>
      </c>
      <c r="D41" s="7">
        <f t="shared" si="2"/>
        <v>0</v>
      </c>
    </row>
    <row r="42" spans="1:4" x14ac:dyDescent="0.25">
      <c r="A42" s="6">
        <v>46199</v>
      </c>
      <c r="B42" s="4">
        <v>6</v>
      </c>
      <c r="C42" s="4">
        <v>6</v>
      </c>
      <c r="D42" s="7">
        <f t="shared" si="2"/>
        <v>1</v>
      </c>
    </row>
    <row r="43" spans="1:4" x14ac:dyDescent="0.25">
      <c r="A43" s="6">
        <v>46198</v>
      </c>
      <c r="B43" s="4">
        <v>2</v>
      </c>
      <c r="C43" s="4">
        <v>1</v>
      </c>
      <c r="D43" s="7">
        <f t="shared" si="2"/>
        <v>0.5</v>
      </c>
    </row>
    <row r="44" spans="1:4" x14ac:dyDescent="0.25">
      <c r="A44" s="6">
        <v>46197</v>
      </c>
      <c r="B44" s="4">
        <v>4</v>
      </c>
      <c r="C44" s="4">
        <v>3</v>
      </c>
      <c r="D44" s="7">
        <f t="shared" si="2"/>
        <v>0.75</v>
      </c>
    </row>
    <row r="45" spans="1:4" x14ac:dyDescent="0.25">
      <c r="A45" s="6">
        <v>46196</v>
      </c>
      <c r="B45" s="4">
        <v>3</v>
      </c>
      <c r="C45" s="4">
        <v>2</v>
      </c>
      <c r="D45" s="7">
        <f t="shared" si="2"/>
        <v>0.66666666666666663</v>
      </c>
    </row>
    <row r="46" spans="1:4" x14ac:dyDescent="0.25">
      <c r="A46" s="6">
        <v>46195</v>
      </c>
      <c r="B46" s="4">
        <v>3</v>
      </c>
      <c r="C46" s="4">
        <v>3</v>
      </c>
      <c r="D46" s="7">
        <f t="shared" si="2"/>
        <v>1</v>
      </c>
    </row>
    <row r="47" spans="1:4" x14ac:dyDescent="0.25">
      <c r="A47" s="6">
        <v>46194</v>
      </c>
      <c r="B47" s="4">
        <v>2</v>
      </c>
      <c r="C47" s="4">
        <v>2</v>
      </c>
      <c r="D47" s="7">
        <f t="shared" si="2"/>
        <v>1</v>
      </c>
    </row>
    <row r="48" spans="1:4" x14ac:dyDescent="0.25">
      <c r="A48" s="6">
        <v>46193</v>
      </c>
      <c r="B48" s="4">
        <v>2</v>
      </c>
      <c r="C48" s="4">
        <v>2</v>
      </c>
      <c r="D48" s="7">
        <f t="shared" si="2"/>
        <v>1</v>
      </c>
    </row>
    <row r="49" spans="1:4" x14ac:dyDescent="0.25">
      <c r="A49" s="6">
        <v>46192</v>
      </c>
      <c r="B49" s="4">
        <v>2</v>
      </c>
      <c r="C49" s="4">
        <v>2</v>
      </c>
      <c r="D49" s="7">
        <f t="shared" si="2"/>
        <v>1</v>
      </c>
    </row>
    <row r="50" spans="1:4" x14ac:dyDescent="0.25">
      <c r="A50" s="6">
        <v>46191</v>
      </c>
      <c r="B50" s="4">
        <v>4</v>
      </c>
      <c r="C50" s="4">
        <v>2</v>
      </c>
      <c r="D50" s="7">
        <f t="shared" si="2"/>
        <v>0.5</v>
      </c>
    </row>
    <row r="51" spans="1:4" x14ac:dyDescent="0.25">
      <c r="A51" s="6">
        <v>46190</v>
      </c>
      <c r="B51" s="4">
        <v>2</v>
      </c>
      <c r="C51" s="4">
        <v>1</v>
      </c>
      <c r="D51" s="7">
        <f t="shared" si="2"/>
        <v>0.5</v>
      </c>
    </row>
    <row r="52" spans="1:4" x14ac:dyDescent="0.25">
      <c r="A52" s="6">
        <v>46189</v>
      </c>
      <c r="B52" s="4">
        <v>3</v>
      </c>
      <c r="C52" s="4">
        <v>2</v>
      </c>
      <c r="D52" s="7">
        <f t="shared" si="2"/>
        <v>0.66666666666666663</v>
      </c>
    </row>
    <row r="53" spans="1:4" x14ac:dyDescent="0.25">
      <c r="A53" s="6">
        <v>46188</v>
      </c>
      <c r="B53" s="4">
        <v>3</v>
      </c>
      <c r="C53" s="4">
        <v>3</v>
      </c>
      <c r="D53" s="7">
        <f t="shared" si="2"/>
        <v>1</v>
      </c>
    </row>
    <row r="54" spans="1:4" x14ac:dyDescent="0.25">
      <c r="A54" s="6">
        <v>46186</v>
      </c>
      <c r="B54" s="4">
        <v>1</v>
      </c>
      <c r="C54" s="4">
        <v>0</v>
      </c>
      <c r="D54" s="7">
        <f t="shared" si="2"/>
        <v>0</v>
      </c>
    </row>
    <row r="55" spans="1:4" x14ac:dyDescent="0.25">
      <c r="A55" s="6">
        <v>46185</v>
      </c>
      <c r="B55" s="4">
        <v>5</v>
      </c>
      <c r="C55" s="4">
        <v>5</v>
      </c>
      <c r="D55" s="7">
        <f t="shared" si="2"/>
        <v>1</v>
      </c>
    </row>
    <row r="56" spans="1:4" x14ac:dyDescent="0.25">
      <c r="A56" s="6">
        <v>46184</v>
      </c>
      <c r="B56" s="4">
        <v>3</v>
      </c>
      <c r="C56" s="4">
        <v>1</v>
      </c>
      <c r="D56" s="7">
        <f t="shared" si="2"/>
        <v>0.33333333333333331</v>
      </c>
    </row>
    <row r="57" spans="1:4" x14ac:dyDescent="0.25">
      <c r="A57" s="6">
        <v>46183</v>
      </c>
      <c r="B57" s="4">
        <v>3</v>
      </c>
      <c r="C57" s="4">
        <v>2</v>
      </c>
      <c r="D57" s="7">
        <f t="shared" si="2"/>
        <v>0.66666666666666663</v>
      </c>
    </row>
    <row r="58" spans="1:4" x14ac:dyDescent="0.25">
      <c r="A58" s="6">
        <v>46182</v>
      </c>
      <c r="B58" s="4">
        <v>4</v>
      </c>
      <c r="C58" s="4">
        <v>2</v>
      </c>
      <c r="D58" s="7">
        <f t="shared" si="2"/>
        <v>0.5</v>
      </c>
    </row>
    <row r="59" spans="1:4" x14ac:dyDescent="0.25">
      <c r="A59" s="6">
        <v>46181</v>
      </c>
      <c r="B59" s="4">
        <v>4</v>
      </c>
      <c r="C59" s="4">
        <v>3</v>
      </c>
      <c r="D59" s="7">
        <f t="shared" si="2"/>
        <v>0.75</v>
      </c>
    </row>
    <row r="60" spans="1:4" x14ac:dyDescent="0.25">
      <c r="A60" s="6">
        <v>46180</v>
      </c>
      <c r="B60" s="4">
        <v>1</v>
      </c>
      <c r="C60" s="4">
        <v>1</v>
      </c>
      <c r="D60" s="7">
        <f t="shared" si="2"/>
        <v>1</v>
      </c>
    </row>
    <row r="61" spans="1:4" x14ac:dyDescent="0.25">
      <c r="A61" s="6">
        <v>46179</v>
      </c>
      <c r="B61" s="4">
        <v>2</v>
      </c>
      <c r="C61" s="4">
        <v>1</v>
      </c>
      <c r="D61" s="7">
        <f t="shared" si="2"/>
        <v>0.5</v>
      </c>
    </row>
    <row r="62" spans="1:4" x14ac:dyDescent="0.25">
      <c r="A62" s="6">
        <v>46178</v>
      </c>
      <c r="B62" s="4">
        <v>1</v>
      </c>
      <c r="C62" s="4">
        <v>1</v>
      </c>
      <c r="D62" s="7">
        <f t="shared" si="2"/>
        <v>1</v>
      </c>
    </row>
    <row r="63" spans="1:4" x14ac:dyDescent="0.25">
      <c r="A63" s="6">
        <v>46177</v>
      </c>
      <c r="B63" s="4">
        <v>5</v>
      </c>
      <c r="C63" s="4">
        <v>5</v>
      </c>
      <c r="D63" s="7">
        <f t="shared" si="2"/>
        <v>1</v>
      </c>
    </row>
    <row r="64" spans="1:4" x14ac:dyDescent="0.25">
      <c r="A64" s="6">
        <v>46176</v>
      </c>
      <c r="B64" s="4">
        <v>4</v>
      </c>
      <c r="C64" s="4">
        <v>3</v>
      </c>
      <c r="D64" s="7">
        <f t="shared" si="2"/>
        <v>0.75</v>
      </c>
    </row>
    <row r="65" spans="1:4" x14ac:dyDescent="0.25">
      <c r="A65" s="6">
        <v>46175</v>
      </c>
      <c r="B65" s="4">
        <v>3</v>
      </c>
      <c r="C65" s="4">
        <v>2</v>
      </c>
      <c r="D65" s="7">
        <f t="shared" si="2"/>
        <v>0.66666666666666663</v>
      </c>
    </row>
    <row r="66" spans="1:4" x14ac:dyDescent="0.25">
      <c r="A66" s="6">
        <v>46174</v>
      </c>
      <c r="B66" s="4">
        <v>3</v>
      </c>
      <c r="C66" s="4">
        <v>1</v>
      </c>
      <c r="D66" s="7">
        <f t="shared" si="2"/>
        <v>0.33333333333333331</v>
      </c>
    </row>
  </sheetData>
  <pageMargins left="0.7" right="0.7" top="0.75" bottom="0.75" header="0.3" footer="0.3"/>
  <headerFooter>
    <oddHeader>&amp;R&amp;"Arial"&amp;8&amp;K000000 Information classification: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2D5E7-A963-4AF0-A36D-AEF1D9E0DE9B}">
  <dimension ref="A1:M6"/>
  <sheetViews>
    <sheetView workbookViewId="0">
      <selection activeCell="G40" sqref="G40"/>
    </sheetView>
  </sheetViews>
  <sheetFormatPr defaultRowHeight="12.5" x14ac:dyDescent="0.25"/>
  <cols>
    <col min="1" max="1" width="9.81640625" bestFit="1" customWidth="1"/>
    <col min="2" max="2" width="4.81640625" bestFit="1" customWidth="1"/>
    <col min="3" max="3" width="6.36328125" bestFit="1" customWidth="1"/>
    <col min="4" max="4" width="11.26953125" bestFit="1" customWidth="1"/>
    <col min="5" max="5" width="12.1796875" bestFit="1" customWidth="1"/>
    <col min="6" max="6" width="9.36328125" bestFit="1" customWidth="1"/>
    <col min="7" max="7" width="28" bestFit="1" customWidth="1"/>
    <col min="8" max="8" width="20.90625" bestFit="1" customWidth="1"/>
    <col min="9" max="9" width="20.08984375" bestFit="1" customWidth="1"/>
    <col min="10" max="10" width="12.1796875" bestFit="1" customWidth="1"/>
    <col min="11" max="11" width="24.6328125" bestFit="1" customWidth="1"/>
    <col min="12" max="12" width="17.6328125" bestFit="1" customWidth="1"/>
    <col min="13" max="13" width="16.7265625" bestFit="1" customWidth="1"/>
  </cols>
  <sheetData>
    <row r="1" spans="1:13" x14ac:dyDescent="0.25">
      <c r="A1" s="4" t="s">
        <v>403</v>
      </c>
      <c r="B1" s="4" t="s">
        <v>240</v>
      </c>
      <c r="C1" s="4" t="s">
        <v>404</v>
      </c>
      <c r="D1" s="4" t="s">
        <v>405</v>
      </c>
      <c r="E1" s="4" t="s">
        <v>406</v>
      </c>
      <c r="F1" s="4" t="s">
        <v>407</v>
      </c>
      <c r="G1" s="4" t="s">
        <v>408</v>
      </c>
      <c r="H1" s="4" t="s">
        <v>409</v>
      </c>
      <c r="I1" s="4" t="s">
        <v>410</v>
      </c>
      <c r="J1" s="4" t="s">
        <v>411</v>
      </c>
      <c r="K1" s="4" t="s">
        <v>412</v>
      </c>
      <c r="L1" s="4" t="s">
        <v>413</v>
      </c>
      <c r="M1" s="4" t="s">
        <v>414</v>
      </c>
    </row>
    <row r="2" spans="1:13" x14ac:dyDescent="0.25">
      <c r="A2" s="4">
        <v>119458701</v>
      </c>
      <c r="B2" s="4" t="s">
        <v>415</v>
      </c>
      <c r="C2" s="4">
        <v>1</v>
      </c>
      <c r="D2" s="4">
        <v>1</v>
      </c>
      <c r="E2" s="9">
        <v>60571.436309999997</v>
      </c>
      <c r="F2" s="4">
        <v>1</v>
      </c>
      <c r="G2" s="4">
        <v>0</v>
      </c>
      <c r="H2" s="4">
        <v>0</v>
      </c>
      <c r="I2" s="4">
        <v>0</v>
      </c>
      <c r="J2" s="10">
        <v>60571.436309999997</v>
      </c>
      <c r="K2" s="10">
        <v>0</v>
      </c>
      <c r="L2" s="10">
        <v>0</v>
      </c>
      <c r="M2" s="10">
        <v>0</v>
      </c>
    </row>
    <row r="3" spans="1:13" x14ac:dyDescent="0.25">
      <c r="A3" s="4">
        <v>106273600</v>
      </c>
      <c r="B3" s="4" t="s">
        <v>415</v>
      </c>
      <c r="C3" s="4">
        <v>1</v>
      </c>
      <c r="D3" s="4">
        <v>1</v>
      </c>
      <c r="E3" s="9">
        <v>143430</v>
      </c>
      <c r="F3" s="4">
        <v>1</v>
      </c>
      <c r="G3" s="4">
        <v>0</v>
      </c>
      <c r="H3" s="4">
        <v>0</v>
      </c>
      <c r="I3" s="4">
        <v>0</v>
      </c>
      <c r="J3" s="10">
        <v>143430</v>
      </c>
      <c r="K3" s="10">
        <v>0</v>
      </c>
      <c r="L3" s="10">
        <v>0</v>
      </c>
      <c r="M3" s="10">
        <v>0</v>
      </c>
    </row>
    <row r="4" spans="1:13" x14ac:dyDescent="0.25">
      <c r="A4" s="4">
        <v>127006500</v>
      </c>
      <c r="B4" s="4" t="s">
        <v>415</v>
      </c>
      <c r="C4" s="4">
        <v>1</v>
      </c>
      <c r="D4" s="4">
        <v>1</v>
      </c>
      <c r="E4" s="9">
        <v>34215.439720000002</v>
      </c>
      <c r="F4" s="4">
        <v>0</v>
      </c>
      <c r="G4" s="4">
        <v>0</v>
      </c>
      <c r="H4" s="4">
        <v>1</v>
      </c>
      <c r="I4" s="4">
        <v>0</v>
      </c>
      <c r="J4" s="10">
        <v>0</v>
      </c>
      <c r="K4" s="10">
        <v>0</v>
      </c>
      <c r="L4" s="10">
        <v>34215.439720000002</v>
      </c>
      <c r="M4" s="10">
        <v>0</v>
      </c>
    </row>
    <row r="5" spans="1:13" x14ac:dyDescent="0.25">
      <c r="A5" s="4">
        <v>144174026</v>
      </c>
      <c r="B5" s="4" t="s">
        <v>415</v>
      </c>
      <c r="C5" s="4">
        <v>1</v>
      </c>
      <c r="D5" s="4">
        <v>1</v>
      </c>
      <c r="E5" s="9">
        <v>18020.314620000001</v>
      </c>
      <c r="F5" s="4">
        <v>1</v>
      </c>
      <c r="G5" s="4">
        <v>0</v>
      </c>
      <c r="H5" s="4">
        <v>0</v>
      </c>
      <c r="I5" s="4">
        <v>0</v>
      </c>
      <c r="J5" s="10">
        <v>18020.314620000001</v>
      </c>
      <c r="K5" s="10">
        <v>0</v>
      </c>
      <c r="L5" s="10">
        <v>0</v>
      </c>
      <c r="M5" s="10">
        <v>0</v>
      </c>
    </row>
    <row r="6" spans="1:13" x14ac:dyDescent="0.25">
      <c r="A6" s="4">
        <v>101138501</v>
      </c>
      <c r="B6" s="4" t="s">
        <v>415</v>
      </c>
      <c r="C6" s="4">
        <v>1</v>
      </c>
      <c r="D6" s="4">
        <v>1</v>
      </c>
      <c r="E6" s="9">
        <v>19918.704959999999</v>
      </c>
      <c r="F6" s="4">
        <v>0</v>
      </c>
      <c r="G6" s="4">
        <v>0</v>
      </c>
      <c r="H6" s="4">
        <v>0</v>
      </c>
      <c r="I6" s="4">
        <v>1</v>
      </c>
      <c r="J6" s="10">
        <v>0</v>
      </c>
      <c r="K6" s="10">
        <v>0</v>
      </c>
      <c r="L6" s="10">
        <v>0</v>
      </c>
      <c r="M6" s="10">
        <v>19918.704959999999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3E139-896E-4988-9398-B2C33FB86FBC}">
  <dimension ref="A3:E31"/>
  <sheetViews>
    <sheetView workbookViewId="0">
      <selection activeCell="L3" sqref="L3"/>
    </sheetView>
  </sheetViews>
  <sheetFormatPr defaultRowHeight="12.5" x14ac:dyDescent="0.25"/>
  <cols>
    <col min="1" max="1" width="29.7265625" bestFit="1" customWidth="1"/>
    <col min="2" max="2" width="14.26953125" bestFit="1" customWidth="1"/>
    <col min="4" max="4" width="22.1796875" bestFit="1" customWidth="1"/>
    <col min="5" max="5" width="8.08984375" bestFit="1" customWidth="1"/>
  </cols>
  <sheetData>
    <row r="3" spans="1:5" x14ac:dyDescent="0.25">
      <c r="A3" s="2" t="s">
        <v>256</v>
      </c>
      <c r="B3" t="s">
        <v>259</v>
      </c>
      <c r="D3" s="4" t="s">
        <v>260</v>
      </c>
      <c r="E3" s="4" t="s">
        <v>261</v>
      </c>
    </row>
    <row r="4" spans="1:5" x14ac:dyDescent="0.25">
      <c r="A4" s="3" t="s">
        <v>193</v>
      </c>
      <c r="B4">
        <v>202</v>
      </c>
      <c r="D4" s="5" t="s">
        <v>193</v>
      </c>
      <c r="E4" s="4">
        <v>202</v>
      </c>
    </row>
    <row r="5" spans="1:5" x14ac:dyDescent="0.25">
      <c r="A5" s="3" t="s">
        <v>192</v>
      </c>
      <c r="B5">
        <v>78</v>
      </c>
      <c r="D5" s="5" t="s">
        <v>192</v>
      </c>
      <c r="E5" s="4">
        <v>78</v>
      </c>
    </row>
    <row r="6" spans="1:5" x14ac:dyDescent="0.25">
      <c r="A6" s="3" t="s">
        <v>168</v>
      </c>
      <c r="B6">
        <v>74</v>
      </c>
      <c r="D6" s="5" t="s">
        <v>168</v>
      </c>
      <c r="E6" s="4">
        <v>74</v>
      </c>
    </row>
    <row r="7" spans="1:5" x14ac:dyDescent="0.25">
      <c r="A7" s="3" t="s">
        <v>42</v>
      </c>
      <c r="B7">
        <v>71</v>
      </c>
      <c r="D7" s="5" t="s">
        <v>232</v>
      </c>
      <c r="E7" s="4">
        <v>71</v>
      </c>
    </row>
    <row r="8" spans="1:5" x14ac:dyDescent="0.25">
      <c r="A8" s="3" t="s">
        <v>185</v>
      </c>
      <c r="B8">
        <v>66</v>
      </c>
      <c r="D8" s="5" t="s">
        <v>42</v>
      </c>
      <c r="E8" s="4">
        <v>66</v>
      </c>
    </row>
    <row r="9" spans="1:5" x14ac:dyDescent="0.25">
      <c r="A9" s="3" t="s">
        <v>232</v>
      </c>
      <c r="B9">
        <v>61</v>
      </c>
      <c r="D9" s="5" t="s">
        <v>185</v>
      </c>
      <c r="E9" s="4">
        <v>61</v>
      </c>
    </row>
    <row r="10" spans="1:5" x14ac:dyDescent="0.25">
      <c r="A10" s="3" t="s">
        <v>128</v>
      </c>
      <c r="B10">
        <v>49</v>
      </c>
      <c r="D10" s="5" t="s">
        <v>128</v>
      </c>
      <c r="E10" s="4">
        <v>49</v>
      </c>
    </row>
    <row r="11" spans="1:5" x14ac:dyDescent="0.25">
      <c r="A11" s="3" t="s">
        <v>191</v>
      </c>
      <c r="B11">
        <v>40</v>
      </c>
      <c r="D11" s="5" t="s">
        <v>191</v>
      </c>
      <c r="E11" s="4">
        <v>40</v>
      </c>
    </row>
    <row r="12" spans="1:5" x14ac:dyDescent="0.25">
      <c r="A12" s="3" t="s">
        <v>190</v>
      </c>
      <c r="B12">
        <v>23</v>
      </c>
      <c r="D12" s="5" t="s">
        <v>190</v>
      </c>
      <c r="E12" s="4">
        <v>23</v>
      </c>
    </row>
    <row r="13" spans="1:5" x14ac:dyDescent="0.25">
      <c r="A13" s="3" t="s">
        <v>233</v>
      </c>
      <c r="B13">
        <v>15</v>
      </c>
      <c r="D13" s="5" t="s">
        <v>233</v>
      </c>
      <c r="E13" s="4">
        <v>15</v>
      </c>
    </row>
    <row r="14" spans="1:5" x14ac:dyDescent="0.25">
      <c r="A14" s="3" t="s">
        <v>25</v>
      </c>
      <c r="B14">
        <v>14</v>
      </c>
    </row>
    <row r="15" spans="1:5" x14ac:dyDescent="0.25">
      <c r="A15" s="3" t="s">
        <v>23</v>
      </c>
      <c r="B15">
        <v>12</v>
      </c>
    </row>
    <row r="16" spans="1:5" x14ac:dyDescent="0.25">
      <c r="A16" s="3" t="s">
        <v>24</v>
      </c>
      <c r="B16">
        <v>12</v>
      </c>
    </row>
    <row r="17" spans="1:2" x14ac:dyDescent="0.25">
      <c r="A17" s="3" t="s">
        <v>3</v>
      </c>
      <c r="B17">
        <v>12</v>
      </c>
    </row>
    <row r="18" spans="1:2" x14ac:dyDescent="0.25">
      <c r="A18" s="3" t="s">
        <v>159</v>
      </c>
      <c r="B18">
        <v>11</v>
      </c>
    </row>
    <row r="19" spans="1:2" x14ac:dyDescent="0.25">
      <c r="A19" s="3" t="s">
        <v>109</v>
      </c>
      <c r="B19">
        <v>10</v>
      </c>
    </row>
    <row r="20" spans="1:2" x14ac:dyDescent="0.25">
      <c r="A20" s="3" t="s">
        <v>180</v>
      </c>
      <c r="B20">
        <v>8</v>
      </c>
    </row>
    <row r="21" spans="1:2" x14ac:dyDescent="0.25">
      <c r="A21" s="3" t="s">
        <v>167</v>
      </c>
      <c r="B21">
        <v>6</v>
      </c>
    </row>
    <row r="22" spans="1:2" x14ac:dyDescent="0.25">
      <c r="A22" s="3" t="s">
        <v>322</v>
      </c>
      <c r="B22">
        <v>4</v>
      </c>
    </row>
    <row r="23" spans="1:2" x14ac:dyDescent="0.25">
      <c r="A23" s="3" t="s">
        <v>40</v>
      </c>
      <c r="B23">
        <v>4</v>
      </c>
    </row>
    <row r="24" spans="1:2" x14ac:dyDescent="0.25">
      <c r="A24" s="3" t="s">
        <v>125</v>
      </c>
      <c r="B24">
        <v>3</v>
      </c>
    </row>
    <row r="25" spans="1:2" x14ac:dyDescent="0.25">
      <c r="A25" s="3" t="s">
        <v>179</v>
      </c>
      <c r="B25">
        <v>3</v>
      </c>
    </row>
    <row r="26" spans="1:2" x14ac:dyDescent="0.25">
      <c r="A26" s="3" t="s">
        <v>166</v>
      </c>
      <c r="B26">
        <v>2</v>
      </c>
    </row>
    <row r="27" spans="1:2" x14ac:dyDescent="0.25">
      <c r="A27" s="3" t="s">
        <v>149</v>
      </c>
      <c r="B27">
        <v>2</v>
      </c>
    </row>
    <row r="28" spans="1:2" x14ac:dyDescent="0.25">
      <c r="A28" s="3" t="s">
        <v>347</v>
      </c>
      <c r="B28">
        <v>1</v>
      </c>
    </row>
    <row r="29" spans="1:2" x14ac:dyDescent="0.25">
      <c r="A29" s="3" t="s">
        <v>124</v>
      </c>
      <c r="B29">
        <v>1</v>
      </c>
    </row>
    <row r="30" spans="1:2" x14ac:dyDescent="0.25">
      <c r="A30" s="3" t="s">
        <v>257</v>
      </c>
    </row>
    <row r="31" spans="1:2" x14ac:dyDescent="0.25">
      <c r="A31" s="3" t="s">
        <v>258</v>
      </c>
      <c r="B31">
        <v>784</v>
      </c>
    </row>
  </sheetData>
  <pageMargins left="0.7" right="0.7" top="0.75" bottom="0.75" header="0.3" footer="0.3"/>
  <headerFooter>
    <oddHeader>&amp;R&amp;"Arial"&amp;8&amp;K000000 Information classification: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38EAF-21E6-4DC3-9706-DA7FD49F2E56}">
  <dimension ref="A1:V785"/>
  <sheetViews>
    <sheetView topLeftCell="A49" workbookViewId="0">
      <selection sqref="A1:V696"/>
    </sheetView>
  </sheetViews>
  <sheetFormatPr defaultRowHeight="12.5" x14ac:dyDescent="0.25"/>
  <cols>
    <col min="1" max="1" width="11.81640625" bestFit="1" customWidth="1"/>
    <col min="2" max="2" width="3.90625" bestFit="1" customWidth="1"/>
    <col min="3" max="3" width="29.08984375" bestFit="1" customWidth="1"/>
    <col min="4" max="4" width="11.81640625" bestFit="1" customWidth="1"/>
    <col min="5" max="5" width="10.26953125" bestFit="1" customWidth="1"/>
    <col min="6" max="6" width="8.1796875" bestFit="1" customWidth="1"/>
    <col min="7" max="7" width="4.81640625" bestFit="1" customWidth="1"/>
    <col min="8" max="8" width="14.6328125" bestFit="1" customWidth="1"/>
    <col min="9" max="9" width="22.6328125" bestFit="1" customWidth="1"/>
    <col min="10" max="10" width="21.54296875" bestFit="1" customWidth="1"/>
    <col min="11" max="11" width="31.453125" bestFit="1" customWidth="1"/>
    <col min="12" max="12" width="19.54296875" bestFit="1" customWidth="1"/>
    <col min="13" max="13" width="15.08984375" bestFit="1" customWidth="1"/>
    <col min="14" max="14" width="14.26953125" bestFit="1" customWidth="1"/>
    <col min="15" max="15" width="16.453125" bestFit="1" customWidth="1"/>
    <col min="16" max="16" width="192.7265625" bestFit="1" customWidth="1"/>
    <col min="17" max="17" width="12.6328125" bestFit="1" customWidth="1"/>
    <col min="18" max="18" width="11.453125" bestFit="1" customWidth="1"/>
    <col min="19" max="19" width="11.54296875" bestFit="1" customWidth="1"/>
    <col min="20" max="20" width="12.90625" bestFit="1" customWidth="1"/>
    <col min="21" max="21" width="31.26953125" bestFit="1" customWidth="1"/>
    <col min="22" max="22" width="50.36328125" bestFit="1" customWidth="1"/>
  </cols>
  <sheetData>
    <row r="1" spans="1:22" x14ac:dyDescent="0.25">
      <c r="A1" t="s">
        <v>234</v>
      </c>
      <c r="B1" t="s">
        <v>235</v>
      </c>
      <c r="C1" t="s">
        <v>236</v>
      </c>
      <c r="D1" t="s">
        <v>237</v>
      </c>
      <c r="E1" t="s">
        <v>238</v>
      </c>
      <c r="F1" t="s">
        <v>239</v>
      </c>
      <c r="G1" t="s">
        <v>240</v>
      </c>
      <c r="H1" t="s">
        <v>241</v>
      </c>
      <c r="I1" t="s">
        <v>242</v>
      </c>
      <c r="J1" t="s">
        <v>243</v>
      </c>
      <c r="K1" t="s">
        <v>244</v>
      </c>
      <c r="L1" t="s">
        <v>245</v>
      </c>
      <c r="M1" t="s">
        <v>246</v>
      </c>
      <c r="N1" t="s">
        <v>247</v>
      </c>
      <c r="O1" t="s">
        <v>248</v>
      </c>
      <c r="P1" t="s">
        <v>249</v>
      </c>
      <c r="Q1" t="s">
        <v>250</v>
      </c>
      <c r="R1" t="s">
        <v>251</v>
      </c>
      <c r="S1" t="s">
        <v>252</v>
      </c>
      <c r="T1" t="s">
        <v>253</v>
      </c>
      <c r="U1" t="s">
        <v>254</v>
      </c>
      <c r="V1" t="s">
        <v>255</v>
      </c>
    </row>
    <row r="2" spans="1:22" x14ac:dyDescent="0.25">
      <c r="A2">
        <v>41461945768</v>
      </c>
      <c r="B2" t="s">
        <v>10</v>
      </c>
      <c r="C2" t="s">
        <v>3</v>
      </c>
      <c r="D2">
        <v>41461945768</v>
      </c>
      <c r="E2" s="1">
        <v>46213.485443680554</v>
      </c>
      <c r="F2">
        <v>115</v>
      </c>
      <c r="G2">
        <v>3</v>
      </c>
      <c r="H2" t="s">
        <v>12</v>
      </c>
      <c r="I2" t="s">
        <v>5</v>
      </c>
      <c r="J2" t="s">
        <v>6</v>
      </c>
      <c r="K2">
        <v>32639139</v>
      </c>
      <c r="L2">
        <v>600111</v>
      </c>
      <c r="M2">
        <v>28200</v>
      </c>
      <c r="N2" t="s">
        <v>7</v>
      </c>
      <c r="O2">
        <v>363935</v>
      </c>
      <c r="P2" t="s">
        <v>13</v>
      </c>
      <c r="Q2" t="s">
        <v>8</v>
      </c>
      <c r="R2">
        <v>129901054</v>
      </c>
      <c r="S2">
        <v>129901054</v>
      </c>
      <c r="T2">
        <v>129901054</v>
      </c>
      <c r="U2" t="s">
        <v>14</v>
      </c>
      <c r="V2" t="s">
        <v>15</v>
      </c>
    </row>
    <row r="3" spans="1:22" x14ac:dyDescent="0.25">
      <c r="A3">
        <v>41463610727</v>
      </c>
      <c r="B3" t="s">
        <v>2</v>
      </c>
      <c r="C3" t="s">
        <v>3</v>
      </c>
      <c r="D3">
        <v>41463610727</v>
      </c>
      <c r="E3" s="1">
        <v>46214.50736797454</v>
      </c>
      <c r="F3">
        <v>115</v>
      </c>
      <c r="G3">
        <v>3</v>
      </c>
      <c r="H3" t="s">
        <v>19</v>
      </c>
      <c r="I3" t="s">
        <v>5</v>
      </c>
      <c r="J3" t="s">
        <v>6</v>
      </c>
      <c r="K3">
        <v>51396080</v>
      </c>
      <c r="L3">
        <v>404031</v>
      </c>
      <c r="M3">
        <v>95000</v>
      </c>
      <c r="N3" t="s">
        <v>7</v>
      </c>
      <c r="O3">
        <v>1226022.05</v>
      </c>
      <c r="P3" t="s">
        <v>17</v>
      </c>
      <c r="Q3" t="s">
        <v>8</v>
      </c>
      <c r="R3">
        <v>146573514</v>
      </c>
      <c r="S3">
        <v>146573514</v>
      </c>
      <c r="T3">
        <v>146573514</v>
      </c>
      <c r="U3" t="s">
        <v>18</v>
      </c>
      <c r="V3" t="s">
        <v>15</v>
      </c>
    </row>
    <row r="4" spans="1:22" x14ac:dyDescent="0.25">
      <c r="A4">
        <v>41463601364</v>
      </c>
      <c r="B4" t="s">
        <v>2</v>
      </c>
      <c r="C4" t="s">
        <v>3</v>
      </c>
      <c r="D4">
        <v>41463601364</v>
      </c>
      <c r="E4" s="1">
        <v>46214.504335254627</v>
      </c>
      <c r="F4">
        <v>115</v>
      </c>
      <c r="G4">
        <v>3</v>
      </c>
      <c r="H4" t="s">
        <v>19</v>
      </c>
      <c r="I4" t="s">
        <v>5</v>
      </c>
      <c r="J4" t="s">
        <v>6</v>
      </c>
      <c r="K4">
        <v>51396080</v>
      </c>
      <c r="L4">
        <v>404031</v>
      </c>
      <c r="M4">
        <v>100000</v>
      </c>
      <c r="N4" t="s">
        <v>7</v>
      </c>
      <c r="O4">
        <v>1290549.53</v>
      </c>
      <c r="P4" t="s">
        <v>17</v>
      </c>
      <c r="Q4" t="s">
        <v>8</v>
      </c>
      <c r="R4">
        <v>146573514</v>
      </c>
      <c r="S4">
        <v>146573514</v>
      </c>
      <c r="T4">
        <v>146573514</v>
      </c>
      <c r="U4" t="s">
        <v>18</v>
      </c>
      <c r="V4" t="s">
        <v>15</v>
      </c>
    </row>
    <row r="5" spans="1:22" x14ac:dyDescent="0.25">
      <c r="A5">
        <v>41463606609</v>
      </c>
      <c r="B5" t="s">
        <v>2</v>
      </c>
      <c r="C5" t="s">
        <v>3</v>
      </c>
      <c r="D5">
        <v>41463606609</v>
      </c>
      <c r="E5" s="1">
        <v>46214.506083831016</v>
      </c>
      <c r="F5">
        <v>115</v>
      </c>
      <c r="G5">
        <v>3</v>
      </c>
      <c r="H5" t="s">
        <v>16</v>
      </c>
      <c r="I5" t="s">
        <v>5</v>
      </c>
      <c r="J5" t="s">
        <v>6</v>
      </c>
      <c r="K5">
        <v>57317232</v>
      </c>
      <c r="L5">
        <v>555010</v>
      </c>
      <c r="M5">
        <v>100000</v>
      </c>
      <c r="N5" t="s">
        <v>7</v>
      </c>
      <c r="O5">
        <v>1290549.53</v>
      </c>
      <c r="P5" t="s">
        <v>17</v>
      </c>
      <c r="Q5" t="s">
        <v>8</v>
      </c>
      <c r="R5">
        <v>146573514</v>
      </c>
      <c r="S5">
        <v>146573514</v>
      </c>
      <c r="T5">
        <v>146573514</v>
      </c>
      <c r="U5" t="s">
        <v>18</v>
      </c>
      <c r="V5" t="s">
        <v>15</v>
      </c>
    </row>
    <row r="6" spans="1:22" x14ac:dyDescent="0.25">
      <c r="A6">
        <v>41463594320</v>
      </c>
      <c r="B6" t="s">
        <v>10</v>
      </c>
      <c r="C6" t="s">
        <v>3</v>
      </c>
      <c r="D6">
        <v>41463594320</v>
      </c>
      <c r="E6" s="1">
        <v>46214.502113020833</v>
      </c>
      <c r="F6">
        <v>115</v>
      </c>
      <c r="G6">
        <v>3</v>
      </c>
      <c r="H6" t="s">
        <v>16</v>
      </c>
      <c r="I6" t="s">
        <v>5</v>
      </c>
      <c r="J6" t="s">
        <v>6</v>
      </c>
      <c r="K6">
        <v>57317232</v>
      </c>
      <c r="L6">
        <v>555010</v>
      </c>
      <c r="M6">
        <v>100000</v>
      </c>
      <c r="N6" t="s">
        <v>7</v>
      </c>
      <c r="O6">
        <v>1290549.53</v>
      </c>
      <c r="P6" t="s">
        <v>17</v>
      </c>
      <c r="Q6" t="s">
        <v>8</v>
      </c>
      <c r="R6">
        <v>146573514</v>
      </c>
      <c r="S6">
        <v>146573514</v>
      </c>
      <c r="T6">
        <v>146573514</v>
      </c>
      <c r="U6" t="s">
        <v>18</v>
      </c>
      <c r="V6" t="s">
        <v>15</v>
      </c>
    </row>
    <row r="7" spans="1:22" x14ac:dyDescent="0.25">
      <c r="A7">
        <v>41482548652</v>
      </c>
      <c r="B7" t="s">
        <v>10</v>
      </c>
      <c r="C7" t="s">
        <v>3</v>
      </c>
      <c r="D7">
        <v>41482548652</v>
      </c>
      <c r="E7" s="1">
        <v>46226.492796134262</v>
      </c>
      <c r="F7">
        <v>115</v>
      </c>
      <c r="G7">
        <v>3</v>
      </c>
      <c r="H7" t="s">
        <v>20</v>
      </c>
      <c r="I7" t="s">
        <v>5</v>
      </c>
      <c r="J7" t="s">
        <v>6</v>
      </c>
      <c r="K7">
        <v>13139066</v>
      </c>
      <c r="L7">
        <v>804887</v>
      </c>
      <c r="M7">
        <v>90000</v>
      </c>
      <c r="N7" t="s">
        <v>7</v>
      </c>
      <c r="O7">
        <v>1168635.6399999999</v>
      </c>
      <c r="P7" t="s">
        <v>21</v>
      </c>
      <c r="Q7" t="s">
        <v>8</v>
      </c>
      <c r="R7">
        <v>135198109</v>
      </c>
      <c r="S7">
        <v>135198109</v>
      </c>
      <c r="T7">
        <v>135198109</v>
      </c>
      <c r="U7" t="s">
        <v>22</v>
      </c>
      <c r="V7" t="s">
        <v>15</v>
      </c>
    </row>
    <row r="8" spans="1:22" x14ac:dyDescent="0.25">
      <c r="A8">
        <v>41486216916</v>
      </c>
      <c r="B8" t="s">
        <v>2</v>
      </c>
      <c r="C8" t="s">
        <v>3</v>
      </c>
      <c r="D8">
        <v>41486216916</v>
      </c>
      <c r="E8" s="1">
        <v>46227.854579432867</v>
      </c>
      <c r="F8">
        <v>115</v>
      </c>
      <c r="G8">
        <v>3</v>
      </c>
      <c r="H8" t="s">
        <v>4</v>
      </c>
      <c r="I8" t="s">
        <v>5</v>
      </c>
      <c r="J8" t="s">
        <v>6</v>
      </c>
      <c r="K8">
        <v>26180505</v>
      </c>
      <c r="L8">
        <v>608407</v>
      </c>
      <c r="M8">
        <v>100000</v>
      </c>
      <c r="N8" t="s">
        <v>7</v>
      </c>
      <c r="O8">
        <v>1298483.98</v>
      </c>
      <c r="P8" t="s">
        <v>216</v>
      </c>
      <c r="Q8" t="s">
        <v>8</v>
      </c>
      <c r="R8">
        <v>126118058</v>
      </c>
      <c r="S8">
        <v>126118058</v>
      </c>
      <c r="T8">
        <v>126118058</v>
      </c>
      <c r="U8" t="s">
        <v>264</v>
      </c>
      <c r="V8" t="s">
        <v>15</v>
      </c>
    </row>
    <row r="9" spans="1:22" x14ac:dyDescent="0.25">
      <c r="A9">
        <v>41486213067</v>
      </c>
      <c r="B9" t="s">
        <v>2</v>
      </c>
      <c r="C9" t="s">
        <v>3</v>
      </c>
      <c r="D9">
        <v>41486213067</v>
      </c>
      <c r="E9" s="1">
        <v>46227.852821099536</v>
      </c>
      <c r="F9">
        <v>115</v>
      </c>
      <c r="G9">
        <v>3</v>
      </c>
      <c r="H9" t="s">
        <v>4</v>
      </c>
      <c r="I9" t="s">
        <v>5</v>
      </c>
      <c r="J9" t="s">
        <v>6</v>
      </c>
      <c r="K9">
        <v>26180505</v>
      </c>
      <c r="L9">
        <v>608407</v>
      </c>
      <c r="M9">
        <v>100000</v>
      </c>
      <c r="N9" t="s">
        <v>7</v>
      </c>
      <c r="O9">
        <v>1298483.98</v>
      </c>
      <c r="P9" t="s">
        <v>216</v>
      </c>
      <c r="Q9" t="s">
        <v>8</v>
      </c>
      <c r="R9">
        <v>126118058</v>
      </c>
      <c r="S9">
        <v>126118058</v>
      </c>
      <c r="T9">
        <v>126118058</v>
      </c>
      <c r="U9" t="s">
        <v>264</v>
      </c>
      <c r="V9" t="s">
        <v>15</v>
      </c>
    </row>
    <row r="10" spans="1:22" x14ac:dyDescent="0.25">
      <c r="A10">
        <v>41486220957</v>
      </c>
      <c r="B10" t="s">
        <v>2</v>
      </c>
      <c r="C10" t="s">
        <v>3</v>
      </c>
      <c r="D10">
        <v>41486220957</v>
      </c>
      <c r="E10" s="1">
        <v>46227.856335497687</v>
      </c>
      <c r="F10">
        <v>115</v>
      </c>
      <c r="G10">
        <v>3</v>
      </c>
      <c r="H10" t="s">
        <v>4</v>
      </c>
      <c r="I10" t="s">
        <v>5</v>
      </c>
      <c r="J10" t="s">
        <v>6</v>
      </c>
      <c r="K10">
        <v>26180505</v>
      </c>
      <c r="L10">
        <v>608407</v>
      </c>
      <c r="M10">
        <v>100000</v>
      </c>
      <c r="N10" t="s">
        <v>7</v>
      </c>
      <c r="O10">
        <v>1298483.98</v>
      </c>
      <c r="P10" t="s">
        <v>265</v>
      </c>
      <c r="Q10" t="s">
        <v>8</v>
      </c>
      <c r="R10">
        <v>126118058</v>
      </c>
      <c r="S10">
        <v>126118058</v>
      </c>
      <c r="T10">
        <v>126118058</v>
      </c>
      <c r="U10" t="s">
        <v>264</v>
      </c>
      <c r="V10" t="s">
        <v>15</v>
      </c>
    </row>
    <row r="11" spans="1:22" x14ac:dyDescent="0.25">
      <c r="A11">
        <v>41486224304</v>
      </c>
      <c r="B11" t="s">
        <v>2</v>
      </c>
      <c r="C11" t="s">
        <v>3</v>
      </c>
      <c r="D11">
        <v>41486224304</v>
      </c>
      <c r="E11" s="1">
        <v>46227.857881863427</v>
      </c>
      <c r="F11">
        <v>115</v>
      </c>
      <c r="G11">
        <v>3</v>
      </c>
      <c r="H11" t="s">
        <v>4</v>
      </c>
      <c r="I11" t="s">
        <v>5</v>
      </c>
      <c r="J11" t="s">
        <v>6</v>
      </c>
      <c r="K11">
        <v>26180505</v>
      </c>
      <c r="L11">
        <v>608407</v>
      </c>
      <c r="M11">
        <v>100000</v>
      </c>
      <c r="N11" t="s">
        <v>7</v>
      </c>
      <c r="O11">
        <v>1298483.98</v>
      </c>
      <c r="P11" t="s">
        <v>265</v>
      </c>
      <c r="Q11" t="s">
        <v>8</v>
      </c>
      <c r="R11">
        <v>126118058</v>
      </c>
      <c r="S11">
        <v>126118058</v>
      </c>
      <c r="T11">
        <v>126118058</v>
      </c>
      <c r="U11" t="s">
        <v>264</v>
      </c>
      <c r="V11" t="s">
        <v>15</v>
      </c>
    </row>
    <row r="12" spans="1:22" x14ac:dyDescent="0.25">
      <c r="A12">
        <v>41497065241</v>
      </c>
      <c r="B12" t="s">
        <v>10</v>
      </c>
      <c r="C12" t="s">
        <v>3</v>
      </c>
      <c r="D12">
        <v>41497065241</v>
      </c>
      <c r="E12" s="1">
        <v>46233.851045023148</v>
      </c>
      <c r="F12">
        <v>115</v>
      </c>
      <c r="G12">
        <v>3</v>
      </c>
      <c r="H12" t="s">
        <v>4</v>
      </c>
      <c r="I12" t="s">
        <v>5</v>
      </c>
      <c r="J12" t="s">
        <v>6</v>
      </c>
      <c r="K12">
        <v>73002616</v>
      </c>
      <c r="L12">
        <v>206155</v>
      </c>
      <c r="M12">
        <v>14644.06</v>
      </c>
      <c r="N12" t="s">
        <v>7</v>
      </c>
      <c r="O12">
        <v>190150.8</v>
      </c>
      <c r="P12" t="s">
        <v>266</v>
      </c>
      <c r="Q12" t="s">
        <v>8</v>
      </c>
      <c r="R12">
        <v>147888564</v>
      </c>
      <c r="S12">
        <v>125780189</v>
      </c>
      <c r="T12">
        <v>147888564</v>
      </c>
      <c r="U12" t="s">
        <v>267</v>
      </c>
      <c r="V12" t="s">
        <v>15</v>
      </c>
    </row>
    <row r="13" spans="1:22" x14ac:dyDescent="0.25">
      <c r="A13">
        <v>41461945768</v>
      </c>
      <c r="B13" t="s">
        <v>10</v>
      </c>
      <c r="C13" t="s">
        <v>23</v>
      </c>
      <c r="D13">
        <v>41461945768</v>
      </c>
      <c r="E13" s="1">
        <v>46213.485443680554</v>
      </c>
      <c r="F13">
        <v>115</v>
      </c>
      <c r="G13">
        <v>3</v>
      </c>
      <c r="H13" t="s">
        <v>12</v>
      </c>
      <c r="I13" t="s">
        <v>5</v>
      </c>
      <c r="J13" t="s">
        <v>6</v>
      </c>
      <c r="K13">
        <v>32639139</v>
      </c>
      <c r="L13">
        <v>600111</v>
      </c>
      <c r="M13">
        <v>28200</v>
      </c>
      <c r="N13" t="s">
        <v>7</v>
      </c>
      <c r="O13">
        <v>363935</v>
      </c>
      <c r="P13" t="s">
        <v>13</v>
      </c>
      <c r="Q13" t="s">
        <v>8</v>
      </c>
      <c r="R13">
        <v>129901054</v>
      </c>
      <c r="S13">
        <v>129901054</v>
      </c>
      <c r="T13">
        <v>129901054</v>
      </c>
      <c r="U13" t="s">
        <v>14</v>
      </c>
      <c r="V13" t="s">
        <v>15</v>
      </c>
    </row>
    <row r="14" spans="1:22" x14ac:dyDescent="0.25">
      <c r="A14">
        <v>41463601364</v>
      </c>
      <c r="B14" t="s">
        <v>2</v>
      </c>
      <c r="C14" t="s">
        <v>23</v>
      </c>
      <c r="D14">
        <v>41463601364</v>
      </c>
      <c r="E14" s="1">
        <v>46214.504335254627</v>
      </c>
      <c r="F14">
        <v>115</v>
      </c>
      <c r="G14">
        <v>3</v>
      </c>
      <c r="H14" t="s">
        <v>19</v>
      </c>
      <c r="I14" t="s">
        <v>5</v>
      </c>
      <c r="J14" t="s">
        <v>6</v>
      </c>
      <c r="K14">
        <v>51396080</v>
      </c>
      <c r="L14">
        <v>404031</v>
      </c>
      <c r="M14">
        <v>100000</v>
      </c>
      <c r="N14" t="s">
        <v>7</v>
      </c>
      <c r="O14">
        <v>1290549.53</v>
      </c>
      <c r="P14" t="s">
        <v>17</v>
      </c>
      <c r="Q14" t="s">
        <v>8</v>
      </c>
      <c r="R14">
        <v>146573514</v>
      </c>
      <c r="S14">
        <v>146573514</v>
      </c>
      <c r="T14">
        <v>146573514</v>
      </c>
      <c r="U14" t="s">
        <v>18</v>
      </c>
      <c r="V14" t="s">
        <v>15</v>
      </c>
    </row>
    <row r="15" spans="1:22" x14ac:dyDescent="0.25">
      <c r="A15">
        <v>41463594320</v>
      </c>
      <c r="B15" t="s">
        <v>10</v>
      </c>
      <c r="C15" t="s">
        <v>23</v>
      </c>
      <c r="D15">
        <v>41463594320</v>
      </c>
      <c r="E15" s="1">
        <v>46214.502113020833</v>
      </c>
      <c r="F15">
        <v>115</v>
      </c>
      <c r="G15">
        <v>3</v>
      </c>
      <c r="H15" t="s">
        <v>16</v>
      </c>
      <c r="I15" t="s">
        <v>5</v>
      </c>
      <c r="J15" t="s">
        <v>6</v>
      </c>
      <c r="K15">
        <v>57317232</v>
      </c>
      <c r="L15">
        <v>555010</v>
      </c>
      <c r="M15">
        <v>100000</v>
      </c>
      <c r="N15" t="s">
        <v>7</v>
      </c>
      <c r="O15">
        <v>1290549.53</v>
      </c>
      <c r="P15" t="s">
        <v>17</v>
      </c>
      <c r="Q15" t="s">
        <v>8</v>
      </c>
      <c r="R15">
        <v>146573514</v>
      </c>
      <c r="S15">
        <v>146573514</v>
      </c>
      <c r="T15">
        <v>146573514</v>
      </c>
      <c r="U15" t="s">
        <v>18</v>
      </c>
      <c r="V15" t="s">
        <v>15</v>
      </c>
    </row>
    <row r="16" spans="1:22" x14ac:dyDescent="0.25">
      <c r="A16">
        <v>41463610727</v>
      </c>
      <c r="B16" t="s">
        <v>2</v>
      </c>
      <c r="C16" t="s">
        <v>23</v>
      </c>
      <c r="D16">
        <v>41463610727</v>
      </c>
      <c r="E16" s="1">
        <v>46214.50736797454</v>
      </c>
      <c r="F16">
        <v>115</v>
      </c>
      <c r="G16">
        <v>3</v>
      </c>
      <c r="H16" t="s">
        <v>19</v>
      </c>
      <c r="I16" t="s">
        <v>5</v>
      </c>
      <c r="J16" t="s">
        <v>6</v>
      </c>
      <c r="K16">
        <v>51396080</v>
      </c>
      <c r="L16">
        <v>404031</v>
      </c>
      <c r="M16">
        <v>95000</v>
      </c>
      <c r="N16" t="s">
        <v>7</v>
      </c>
      <c r="O16">
        <v>1226022.05</v>
      </c>
      <c r="P16" t="s">
        <v>17</v>
      </c>
      <c r="Q16" t="s">
        <v>8</v>
      </c>
      <c r="R16">
        <v>146573514</v>
      </c>
      <c r="S16">
        <v>146573514</v>
      </c>
      <c r="T16">
        <v>146573514</v>
      </c>
      <c r="U16" t="s">
        <v>18</v>
      </c>
      <c r="V16" t="s">
        <v>15</v>
      </c>
    </row>
    <row r="17" spans="1:22" x14ac:dyDescent="0.25">
      <c r="A17">
        <v>41463606609</v>
      </c>
      <c r="B17" t="s">
        <v>2</v>
      </c>
      <c r="C17" t="s">
        <v>23</v>
      </c>
      <c r="D17">
        <v>41463606609</v>
      </c>
      <c r="E17" s="1">
        <v>46214.506083831016</v>
      </c>
      <c r="F17">
        <v>115</v>
      </c>
      <c r="G17">
        <v>3</v>
      </c>
      <c r="H17" t="s">
        <v>16</v>
      </c>
      <c r="I17" t="s">
        <v>5</v>
      </c>
      <c r="J17" t="s">
        <v>6</v>
      </c>
      <c r="K17">
        <v>57317232</v>
      </c>
      <c r="L17">
        <v>555010</v>
      </c>
      <c r="M17">
        <v>100000</v>
      </c>
      <c r="N17" t="s">
        <v>7</v>
      </c>
      <c r="O17">
        <v>1290549.53</v>
      </c>
      <c r="P17" t="s">
        <v>17</v>
      </c>
      <c r="Q17" t="s">
        <v>8</v>
      </c>
      <c r="R17">
        <v>146573514</v>
      </c>
      <c r="S17">
        <v>146573514</v>
      </c>
      <c r="T17">
        <v>146573514</v>
      </c>
      <c r="U17" t="s">
        <v>18</v>
      </c>
      <c r="V17" t="s">
        <v>15</v>
      </c>
    </row>
    <row r="18" spans="1:22" x14ac:dyDescent="0.25">
      <c r="A18">
        <v>41482548652</v>
      </c>
      <c r="B18" t="s">
        <v>10</v>
      </c>
      <c r="C18" t="s">
        <v>23</v>
      </c>
      <c r="D18">
        <v>41482548652</v>
      </c>
      <c r="E18" s="1">
        <v>46226.492796134262</v>
      </c>
      <c r="F18">
        <v>115</v>
      </c>
      <c r="G18">
        <v>3</v>
      </c>
      <c r="H18" t="s">
        <v>20</v>
      </c>
      <c r="I18" t="s">
        <v>5</v>
      </c>
      <c r="J18" t="s">
        <v>6</v>
      </c>
      <c r="K18">
        <v>13139066</v>
      </c>
      <c r="L18">
        <v>804887</v>
      </c>
      <c r="M18">
        <v>90000</v>
      </c>
      <c r="N18" t="s">
        <v>7</v>
      </c>
      <c r="O18">
        <v>1168635.6399999999</v>
      </c>
      <c r="P18" t="s">
        <v>21</v>
      </c>
      <c r="Q18" t="s">
        <v>8</v>
      </c>
      <c r="R18">
        <v>135198109</v>
      </c>
      <c r="S18">
        <v>135198109</v>
      </c>
      <c r="T18">
        <v>135198109</v>
      </c>
      <c r="U18" t="s">
        <v>22</v>
      </c>
      <c r="V18" t="s">
        <v>15</v>
      </c>
    </row>
    <row r="19" spans="1:22" x14ac:dyDescent="0.25">
      <c r="A19">
        <v>41486213067</v>
      </c>
      <c r="B19" t="s">
        <v>2</v>
      </c>
      <c r="C19" t="s">
        <v>23</v>
      </c>
      <c r="D19">
        <v>41486213067</v>
      </c>
      <c r="E19" s="1">
        <v>46227.852821099536</v>
      </c>
      <c r="F19">
        <v>115</v>
      </c>
      <c r="G19">
        <v>3</v>
      </c>
      <c r="H19" t="s">
        <v>4</v>
      </c>
      <c r="I19" t="s">
        <v>5</v>
      </c>
      <c r="J19" t="s">
        <v>6</v>
      </c>
      <c r="K19">
        <v>26180505</v>
      </c>
      <c r="L19">
        <v>608407</v>
      </c>
      <c r="M19">
        <v>100000</v>
      </c>
      <c r="N19" t="s">
        <v>7</v>
      </c>
      <c r="O19">
        <v>1298483.98</v>
      </c>
      <c r="P19" t="s">
        <v>216</v>
      </c>
      <c r="Q19" t="s">
        <v>8</v>
      </c>
      <c r="R19">
        <v>126118058</v>
      </c>
      <c r="S19">
        <v>126118058</v>
      </c>
      <c r="T19">
        <v>126118058</v>
      </c>
      <c r="U19" t="s">
        <v>264</v>
      </c>
      <c r="V19" t="s">
        <v>15</v>
      </c>
    </row>
    <row r="20" spans="1:22" x14ac:dyDescent="0.25">
      <c r="A20">
        <v>41486216916</v>
      </c>
      <c r="B20" t="s">
        <v>2</v>
      </c>
      <c r="C20" t="s">
        <v>23</v>
      </c>
      <c r="D20">
        <v>41486216916</v>
      </c>
      <c r="E20" s="1">
        <v>46227.854579432867</v>
      </c>
      <c r="F20">
        <v>115</v>
      </c>
      <c r="G20">
        <v>3</v>
      </c>
      <c r="H20" t="s">
        <v>4</v>
      </c>
      <c r="I20" t="s">
        <v>5</v>
      </c>
      <c r="J20" t="s">
        <v>6</v>
      </c>
      <c r="K20">
        <v>26180505</v>
      </c>
      <c r="L20">
        <v>608407</v>
      </c>
      <c r="M20">
        <v>100000</v>
      </c>
      <c r="N20" t="s">
        <v>7</v>
      </c>
      <c r="O20">
        <v>1298483.98</v>
      </c>
      <c r="P20" t="s">
        <v>216</v>
      </c>
      <c r="Q20" t="s">
        <v>8</v>
      </c>
      <c r="R20">
        <v>126118058</v>
      </c>
      <c r="S20">
        <v>126118058</v>
      </c>
      <c r="T20">
        <v>126118058</v>
      </c>
      <c r="U20" t="s">
        <v>264</v>
      </c>
      <c r="V20" t="s">
        <v>15</v>
      </c>
    </row>
    <row r="21" spans="1:22" x14ac:dyDescent="0.25">
      <c r="A21">
        <v>41486224304</v>
      </c>
      <c r="B21" t="s">
        <v>2</v>
      </c>
      <c r="C21" t="s">
        <v>23</v>
      </c>
      <c r="D21">
        <v>41486224304</v>
      </c>
      <c r="E21" s="1">
        <v>46227.857881863427</v>
      </c>
      <c r="F21">
        <v>115</v>
      </c>
      <c r="G21">
        <v>3</v>
      </c>
      <c r="H21" t="s">
        <v>4</v>
      </c>
      <c r="I21" t="s">
        <v>5</v>
      </c>
      <c r="J21" t="s">
        <v>6</v>
      </c>
      <c r="K21">
        <v>26180505</v>
      </c>
      <c r="L21">
        <v>608407</v>
      </c>
      <c r="M21">
        <v>100000</v>
      </c>
      <c r="N21" t="s">
        <v>7</v>
      </c>
      <c r="O21">
        <v>1298483.98</v>
      </c>
      <c r="P21" t="s">
        <v>265</v>
      </c>
      <c r="Q21" t="s">
        <v>8</v>
      </c>
      <c r="R21">
        <v>126118058</v>
      </c>
      <c r="S21">
        <v>126118058</v>
      </c>
      <c r="T21">
        <v>126118058</v>
      </c>
      <c r="U21" t="s">
        <v>264</v>
      </c>
      <c r="V21" t="s">
        <v>15</v>
      </c>
    </row>
    <row r="22" spans="1:22" x14ac:dyDescent="0.25">
      <c r="A22">
        <v>41486220957</v>
      </c>
      <c r="B22" t="s">
        <v>2</v>
      </c>
      <c r="C22" t="s">
        <v>23</v>
      </c>
      <c r="D22">
        <v>41486220957</v>
      </c>
      <c r="E22" s="1">
        <v>46227.856335497687</v>
      </c>
      <c r="F22">
        <v>115</v>
      </c>
      <c r="G22">
        <v>3</v>
      </c>
      <c r="H22" t="s">
        <v>4</v>
      </c>
      <c r="I22" t="s">
        <v>5</v>
      </c>
      <c r="J22" t="s">
        <v>6</v>
      </c>
      <c r="K22">
        <v>26180505</v>
      </c>
      <c r="L22">
        <v>608407</v>
      </c>
      <c r="M22">
        <v>100000</v>
      </c>
      <c r="N22" t="s">
        <v>7</v>
      </c>
      <c r="O22">
        <v>1298483.98</v>
      </c>
      <c r="P22" t="s">
        <v>265</v>
      </c>
      <c r="Q22" t="s">
        <v>8</v>
      </c>
      <c r="R22">
        <v>126118058</v>
      </c>
      <c r="S22">
        <v>126118058</v>
      </c>
      <c r="T22">
        <v>126118058</v>
      </c>
      <c r="U22" t="s">
        <v>264</v>
      </c>
      <c r="V22" t="s">
        <v>15</v>
      </c>
    </row>
    <row r="23" spans="1:22" x14ac:dyDescent="0.25">
      <c r="A23">
        <v>41497065241</v>
      </c>
      <c r="B23" t="s">
        <v>10</v>
      </c>
      <c r="C23" t="s">
        <v>23</v>
      </c>
      <c r="D23">
        <v>41497065241</v>
      </c>
      <c r="E23" s="1">
        <v>46233.851045023148</v>
      </c>
      <c r="F23">
        <v>115</v>
      </c>
      <c r="G23">
        <v>3</v>
      </c>
      <c r="H23" t="s">
        <v>4</v>
      </c>
      <c r="I23" t="s">
        <v>5</v>
      </c>
      <c r="J23" t="s">
        <v>6</v>
      </c>
      <c r="K23">
        <v>73002616</v>
      </c>
      <c r="L23">
        <v>206155</v>
      </c>
      <c r="M23">
        <v>14644.06</v>
      </c>
      <c r="N23" t="s">
        <v>7</v>
      </c>
      <c r="O23">
        <v>190150.8</v>
      </c>
      <c r="P23" t="s">
        <v>266</v>
      </c>
      <c r="Q23" t="s">
        <v>8</v>
      </c>
      <c r="R23">
        <v>147888564</v>
      </c>
      <c r="S23">
        <v>125780189</v>
      </c>
      <c r="T23">
        <v>147888564</v>
      </c>
      <c r="U23" t="s">
        <v>267</v>
      </c>
      <c r="V23" t="s">
        <v>15</v>
      </c>
    </row>
    <row r="24" spans="1:22" x14ac:dyDescent="0.25">
      <c r="A24">
        <v>41461945768</v>
      </c>
      <c r="B24" t="s">
        <v>10</v>
      </c>
      <c r="C24" t="s">
        <v>24</v>
      </c>
      <c r="D24">
        <v>41461945768</v>
      </c>
      <c r="E24" s="1">
        <v>46213.485443680554</v>
      </c>
      <c r="F24">
        <v>115</v>
      </c>
      <c r="G24">
        <v>3</v>
      </c>
      <c r="H24" t="s">
        <v>12</v>
      </c>
      <c r="I24" t="s">
        <v>5</v>
      </c>
      <c r="J24" t="s">
        <v>6</v>
      </c>
      <c r="K24">
        <v>32639139</v>
      </c>
      <c r="L24">
        <v>600111</v>
      </c>
      <c r="M24">
        <v>28200</v>
      </c>
      <c r="N24" t="s">
        <v>7</v>
      </c>
      <c r="O24">
        <v>363935</v>
      </c>
      <c r="P24" t="s">
        <v>13</v>
      </c>
      <c r="Q24" t="s">
        <v>8</v>
      </c>
      <c r="R24">
        <v>129901054</v>
      </c>
      <c r="S24">
        <v>129901054</v>
      </c>
      <c r="T24">
        <v>129901054</v>
      </c>
      <c r="U24" t="s">
        <v>14</v>
      </c>
      <c r="V24" t="s">
        <v>15</v>
      </c>
    </row>
    <row r="25" spans="1:22" x14ac:dyDescent="0.25">
      <c r="A25">
        <v>41463601364</v>
      </c>
      <c r="B25" t="s">
        <v>2</v>
      </c>
      <c r="C25" t="s">
        <v>24</v>
      </c>
      <c r="D25">
        <v>41463601364</v>
      </c>
      <c r="E25" s="1">
        <v>46214.504335254627</v>
      </c>
      <c r="F25">
        <v>115</v>
      </c>
      <c r="G25">
        <v>3</v>
      </c>
      <c r="H25" t="s">
        <v>19</v>
      </c>
      <c r="I25" t="s">
        <v>5</v>
      </c>
      <c r="J25" t="s">
        <v>6</v>
      </c>
      <c r="K25">
        <v>51396080</v>
      </c>
      <c r="L25">
        <v>404031</v>
      </c>
      <c r="M25">
        <v>100000</v>
      </c>
      <c r="N25" t="s">
        <v>7</v>
      </c>
      <c r="O25">
        <v>1290549.53</v>
      </c>
      <c r="P25" t="s">
        <v>17</v>
      </c>
      <c r="Q25" t="s">
        <v>8</v>
      </c>
      <c r="R25">
        <v>146573514</v>
      </c>
      <c r="S25">
        <v>146573514</v>
      </c>
      <c r="T25">
        <v>146573514</v>
      </c>
      <c r="U25" t="s">
        <v>18</v>
      </c>
      <c r="V25" t="s">
        <v>15</v>
      </c>
    </row>
    <row r="26" spans="1:22" x14ac:dyDescent="0.25">
      <c r="A26">
        <v>41463606609</v>
      </c>
      <c r="B26" t="s">
        <v>2</v>
      </c>
      <c r="C26" t="s">
        <v>24</v>
      </c>
      <c r="D26">
        <v>41463606609</v>
      </c>
      <c r="E26" s="1">
        <v>46214.506083831016</v>
      </c>
      <c r="F26">
        <v>115</v>
      </c>
      <c r="G26">
        <v>3</v>
      </c>
      <c r="H26" t="s">
        <v>16</v>
      </c>
      <c r="I26" t="s">
        <v>5</v>
      </c>
      <c r="J26" t="s">
        <v>6</v>
      </c>
      <c r="K26">
        <v>57317232</v>
      </c>
      <c r="L26">
        <v>555010</v>
      </c>
      <c r="M26">
        <v>100000</v>
      </c>
      <c r="N26" t="s">
        <v>7</v>
      </c>
      <c r="O26">
        <v>1290549.53</v>
      </c>
      <c r="P26" t="s">
        <v>17</v>
      </c>
      <c r="Q26" t="s">
        <v>8</v>
      </c>
      <c r="R26">
        <v>146573514</v>
      </c>
      <c r="S26">
        <v>146573514</v>
      </c>
      <c r="T26">
        <v>146573514</v>
      </c>
      <c r="U26" t="s">
        <v>18</v>
      </c>
      <c r="V26" t="s">
        <v>15</v>
      </c>
    </row>
    <row r="27" spans="1:22" x14ac:dyDescent="0.25">
      <c r="A27">
        <v>41463610727</v>
      </c>
      <c r="B27" t="s">
        <v>2</v>
      </c>
      <c r="C27" t="s">
        <v>24</v>
      </c>
      <c r="D27">
        <v>41463610727</v>
      </c>
      <c r="E27" s="1">
        <v>46214.50736797454</v>
      </c>
      <c r="F27">
        <v>115</v>
      </c>
      <c r="G27">
        <v>3</v>
      </c>
      <c r="H27" t="s">
        <v>19</v>
      </c>
      <c r="I27" t="s">
        <v>5</v>
      </c>
      <c r="J27" t="s">
        <v>6</v>
      </c>
      <c r="K27">
        <v>51396080</v>
      </c>
      <c r="L27">
        <v>404031</v>
      </c>
      <c r="M27">
        <v>95000</v>
      </c>
      <c r="N27" t="s">
        <v>7</v>
      </c>
      <c r="O27">
        <v>1226022.05</v>
      </c>
      <c r="P27" t="s">
        <v>17</v>
      </c>
      <c r="Q27" t="s">
        <v>8</v>
      </c>
      <c r="R27">
        <v>146573514</v>
      </c>
      <c r="S27">
        <v>146573514</v>
      </c>
      <c r="T27">
        <v>146573514</v>
      </c>
      <c r="U27" t="s">
        <v>18</v>
      </c>
      <c r="V27" t="s">
        <v>15</v>
      </c>
    </row>
    <row r="28" spans="1:22" x14ac:dyDescent="0.25">
      <c r="A28">
        <v>41463594320</v>
      </c>
      <c r="B28" t="s">
        <v>10</v>
      </c>
      <c r="C28" t="s">
        <v>24</v>
      </c>
      <c r="D28">
        <v>41463594320</v>
      </c>
      <c r="E28" s="1">
        <v>46214.502113020833</v>
      </c>
      <c r="F28">
        <v>115</v>
      </c>
      <c r="G28">
        <v>3</v>
      </c>
      <c r="H28" t="s">
        <v>16</v>
      </c>
      <c r="I28" t="s">
        <v>5</v>
      </c>
      <c r="J28" t="s">
        <v>6</v>
      </c>
      <c r="K28">
        <v>57317232</v>
      </c>
      <c r="L28">
        <v>555010</v>
      </c>
      <c r="M28">
        <v>100000</v>
      </c>
      <c r="N28" t="s">
        <v>7</v>
      </c>
      <c r="O28">
        <v>1290549.53</v>
      </c>
      <c r="P28" t="s">
        <v>17</v>
      </c>
      <c r="Q28" t="s">
        <v>8</v>
      </c>
      <c r="R28">
        <v>146573514</v>
      </c>
      <c r="S28">
        <v>146573514</v>
      </c>
      <c r="T28">
        <v>146573514</v>
      </c>
      <c r="U28" t="s">
        <v>18</v>
      </c>
      <c r="V28" t="s">
        <v>15</v>
      </c>
    </row>
    <row r="29" spans="1:22" x14ac:dyDescent="0.25">
      <c r="A29">
        <v>41482548652</v>
      </c>
      <c r="B29" t="s">
        <v>10</v>
      </c>
      <c r="C29" t="s">
        <v>24</v>
      </c>
      <c r="D29">
        <v>41482548652</v>
      </c>
      <c r="E29" s="1">
        <v>46226.492796134262</v>
      </c>
      <c r="F29">
        <v>115</v>
      </c>
      <c r="G29">
        <v>3</v>
      </c>
      <c r="H29" t="s">
        <v>20</v>
      </c>
      <c r="I29" t="s">
        <v>5</v>
      </c>
      <c r="J29" t="s">
        <v>6</v>
      </c>
      <c r="K29">
        <v>13139066</v>
      </c>
      <c r="L29">
        <v>804887</v>
      </c>
      <c r="M29">
        <v>90000</v>
      </c>
      <c r="N29" t="s">
        <v>7</v>
      </c>
      <c r="O29">
        <v>1168635.6399999999</v>
      </c>
      <c r="P29" t="s">
        <v>21</v>
      </c>
      <c r="Q29" t="s">
        <v>8</v>
      </c>
      <c r="R29">
        <v>135198109</v>
      </c>
      <c r="S29">
        <v>135198109</v>
      </c>
      <c r="T29">
        <v>135198109</v>
      </c>
      <c r="U29" t="s">
        <v>22</v>
      </c>
      <c r="V29" t="s">
        <v>15</v>
      </c>
    </row>
    <row r="30" spans="1:22" x14ac:dyDescent="0.25">
      <c r="A30">
        <v>41486216916</v>
      </c>
      <c r="B30" t="s">
        <v>2</v>
      </c>
      <c r="C30" t="s">
        <v>24</v>
      </c>
      <c r="D30">
        <v>41486216916</v>
      </c>
      <c r="E30" s="1">
        <v>46227.854579432867</v>
      </c>
      <c r="F30">
        <v>115</v>
      </c>
      <c r="G30">
        <v>3</v>
      </c>
      <c r="H30" t="s">
        <v>4</v>
      </c>
      <c r="I30" t="s">
        <v>5</v>
      </c>
      <c r="J30" t="s">
        <v>6</v>
      </c>
      <c r="K30">
        <v>26180505</v>
      </c>
      <c r="L30">
        <v>608407</v>
      </c>
      <c r="M30">
        <v>100000</v>
      </c>
      <c r="N30" t="s">
        <v>7</v>
      </c>
      <c r="O30">
        <v>1298483.98</v>
      </c>
      <c r="P30" t="s">
        <v>216</v>
      </c>
      <c r="Q30" t="s">
        <v>8</v>
      </c>
      <c r="R30">
        <v>126118058</v>
      </c>
      <c r="S30">
        <v>126118058</v>
      </c>
      <c r="T30">
        <v>126118058</v>
      </c>
      <c r="U30" t="s">
        <v>264</v>
      </c>
      <c r="V30" t="s">
        <v>15</v>
      </c>
    </row>
    <row r="31" spans="1:22" x14ac:dyDescent="0.25">
      <c r="A31">
        <v>41486224304</v>
      </c>
      <c r="B31" t="s">
        <v>2</v>
      </c>
      <c r="C31" t="s">
        <v>24</v>
      </c>
      <c r="D31">
        <v>41486224304</v>
      </c>
      <c r="E31" s="1">
        <v>46227.857881863427</v>
      </c>
      <c r="F31">
        <v>115</v>
      </c>
      <c r="G31">
        <v>3</v>
      </c>
      <c r="H31" t="s">
        <v>4</v>
      </c>
      <c r="I31" t="s">
        <v>5</v>
      </c>
      <c r="J31" t="s">
        <v>6</v>
      </c>
      <c r="K31">
        <v>26180505</v>
      </c>
      <c r="L31">
        <v>608407</v>
      </c>
      <c r="M31">
        <v>100000</v>
      </c>
      <c r="N31" t="s">
        <v>7</v>
      </c>
      <c r="O31">
        <v>1298483.98</v>
      </c>
      <c r="P31" t="s">
        <v>265</v>
      </c>
      <c r="Q31" t="s">
        <v>8</v>
      </c>
      <c r="R31">
        <v>126118058</v>
      </c>
      <c r="S31">
        <v>126118058</v>
      </c>
      <c r="T31">
        <v>126118058</v>
      </c>
      <c r="U31" t="s">
        <v>264</v>
      </c>
      <c r="V31" t="s">
        <v>15</v>
      </c>
    </row>
    <row r="32" spans="1:22" x14ac:dyDescent="0.25">
      <c r="A32">
        <v>41486220957</v>
      </c>
      <c r="B32" t="s">
        <v>2</v>
      </c>
      <c r="C32" t="s">
        <v>24</v>
      </c>
      <c r="D32">
        <v>41486220957</v>
      </c>
      <c r="E32" s="1">
        <v>46227.856335497687</v>
      </c>
      <c r="F32">
        <v>115</v>
      </c>
      <c r="G32">
        <v>3</v>
      </c>
      <c r="H32" t="s">
        <v>4</v>
      </c>
      <c r="I32" t="s">
        <v>5</v>
      </c>
      <c r="J32" t="s">
        <v>6</v>
      </c>
      <c r="K32">
        <v>26180505</v>
      </c>
      <c r="L32">
        <v>608407</v>
      </c>
      <c r="M32">
        <v>100000</v>
      </c>
      <c r="N32" t="s">
        <v>7</v>
      </c>
      <c r="O32">
        <v>1298483.98</v>
      </c>
      <c r="P32" t="s">
        <v>265</v>
      </c>
      <c r="Q32" t="s">
        <v>8</v>
      </c>
      <c r="R32">
        <v>126118058</v>
      </c>
      <c r="S32">
        <v>126118058</v>
      </c>
      <c r="T32">
        <v>126118058</v>
      </c>
      <c r="U32" t="s">
        <v>264</v>
      </c>
      <c r="V32" t="s">
        <v>15</v>
      </c>
    </row>
    <row r="33" spans="1:22" x14ac:dyDescent="0.25">
      <c r="A33">
        <v>41486213067</v>
      </c>
      <c r="B33" t="s">
        <v>2</v>
      </c>
      <c r="C33" t="s">
        <v>24</v>
      </c>
      <c r="D33">
        <v>41486213067</v>
      </c>
      <c r="E33" s="1">
        <v>46227.852821099536</v>
      </c>
      <c r="F33">
        <v>115</v>
      </c>
      <c r="G33">
        <v>3</v>
      </c>
      <c r="H33" t="s">
        <v>4</v>
      </c>
      <c r="I33" t="s">
        <v>5</v>
      </c>
      <c r="J33" t="s">
        <v>6</v>
      </c>
      <c r="K33">
        <v>26180505</v>
      </c>
      <c r="L33">
        <v>608407</v>
      </c>
      <c r="M33">
        <v>100000</v>
      </c>
      <c r="N33" t="s">
        <v>7</v>
      </c>
      <c r="O33">
        <v>1298483.98</v>
      </c>
      <c r="P33" t="s">
        <v>216</v>
      </c>
      <c r="Q33" t="s">
        <v>8</v>
      </c>
      <c r="R33">
        <v>126118058</v>
      </c>
      <c r="S33">
        <v>126118058</v>
      </c>
      <c r="T33">
        <v>126118058</v>
      </c>
      <c r="U33" t="s">
        <v>264</v>
      </c>
      <c r="V33" t="s">
        <v>15</v>
      </c>
    </row>
    <row r="34" spans="1:22" x14ac:dyDescent="0.25">
      <c r="A34">
        <v>41497065241</v>
      </c>
      <c r="B34" t="s">
        <v>10</v>
      </c>
      <c r="C34" t="s">
        <v>24</v>
      </c>
      <c r="D34">
        <v>41497065241</v>
      </c>
      <c r="E34" s="1">
        <v>46233.851045023148</v>
      </c>
      <c r="F34">
        <v>115</v>
      </c>
      <c r="G34">
        <v>3</v>
      </c>
      <c r="H34" t="s">
        <v>4</v>
      </c>
      <c r="I34" t="s">
        <v>5</v>
      </c>
      <c r="J34" t="s">
        <v>6</v>
      </c>
      <c r="K34">
        <v>73002616</v>
      </c>
      <c r="L34">
        <v>206155</v>
      </c>
      <c r="M34">
        <v>14644.06</v>
      </c>
      <c r="N34" t="s">
        <v>7</v>
      </c>
      <c r="O34">
        <v>190150.8</v>
      </c>
      <c r="P34" t="s">
        <v>266</v>
      </c>
      <c r="Q34" t="s">
        <v>8</v>
      </c>
      <c r="R34">
        <v>147888564</v>
      </c>
      <c r="S34">
        <v>125780189</v>
      </c>
      <c r="T34">
        <v>147888564</v>
      </c>
      <c r="U34" t="s">
        <v>267</v>
      </c>
      <c r="V34" t="s">
        <v>15</v>
      </c>
    </row>
    <row r="35" spans="1:22" x14ac:dyDescent="0.25">
      <c r="A35">
        <v>41447499790</v>
      </c>
      <c r="B35" t="s">
        <v>2</v>
      </c>
      <c r="C35" t="s">
        <v>25</v>
      </c>
      <c r="D35">
        <v>41447499790</v>
      </c>
      <c r="E35" s="1">
        <v>46204.618747534725</v>
      </c>
      <c r="F35">
        <v>115</v>
      </c>
      <c r="G35">
        <v>3</v>
      </c>
      <c r="H35" t="s">
        <v>29</v>
      </c>
      <c r="I35" t="s">
        <v>5</v>
      </c>
      <c r="J35" t="s">
        <v>6</v>
      </c>
      <c r="K35">
        <v>23901216</v>
      </c>
      <c r="L35">
        <v>406377</v>
      </c>
      <c r="M35">
        <v>61286.07</v>
      </c>
      <c r="N35" t="s">
        <v>7</v>
      </c>
      <c r="O35">
        <v>788427.31</v>
      </c>
      <c r="P35" t="s">
        <v>30</v>
      </c>
      <c r="Q35" t="s">
        <v>8</v>
      </c>
      <c r="R35">
        <v>119309359</v>
      </c>
      <c r="S35">
        <v>119309359</v>
      </c>
      <c r="T35">
        <v>119309359</v>
      </c>
      <c r="U35" t="s">
        <v>31</v>
      </c>
      <c r="V35" t="s">
        <v>9</v>
      </c>
    </row>
    <row r="36" spans="1:22" x14ac:dyDescent="0.25">
      <c r="A36">
        <v>41447338345</v>
      </c>
      <c r="B36" t="s">
        <v>2</v>
      </c>
      <c r="C36" t="s">
        <v>25</v>
      </c>
      <c r="D36">
        <v>41447338345</v>
      </c>
      <c r="E36" s="1">
        <v>46204.567366400464</v>
      </c>
      <c r="F36">
        <v>115</v>
      </c>
      <c r="G36">
        <v>3</v>
      </c>
      <c r="H36" t="s">
        <v>4</v>
      </c>
      <c r="I36" t="s">
        <v>5</v>
      </c>
      <c r="J36" t="s">
        <v>6</v>
      </c>
      <c r="K36">
        <v>42272574</v>
      </c>
      <c r="L36">
        <v>406437</v>
      </c>
      <c r="M36">
        <v>30143.03</v>
      </c>
      <c r="N36" t="s">
        <v>7</v>
      </c>
      <c r="O36">
        <v>387781.2</v>
      </c>
      <c r="P36" t="s">
        <v>32</v>
      </c>
      <c r="Q36" t="s">
        <v>8</v>
      </c>
      <c r="R36">
        <v>119309359</v>
      </c>
      <c r="S36">
        <v>119309359</v>
      </c>
      <c r="T36">
        <v>119309359</v>
      </c>
      <c r="U36" t="s">
        <v>31</v>
      </c>
      <c r="V36" t="s">
        <v>9</v>
      </c>
    </row>
    <row r="37" spans="1:22" x14ac:dyDescent="0.25">
      <c r="A37">
        <v>41447336274</v>
      </c>
      <c r="B37" t="s">
        <v>2</v>
      </c>
      <c r="C37" t="s">
        <v>25</v>
      </c>
      <c r="D37">
        <v>41447336274</v>
      </c>
      <c r="E37" s="1">
        <v>46204.566646631945</v>
      </c>
      <c r="F37">
        <v>115</v>
      </c>
      <c r="G37">
        <v>3</v>
      </c>
      <c r="H37" t="s">
        <v>4</v>
      </c>
      <c r="I37" t="s">
        <v>5</v>
      </c>
      <c r="J37" t="s">
        <v>6</v>
      </c>
      <c r="K37">
        <v>81595468</v>
      </c>
      <c r="L37">
        <v>406437</v>
      </c>
      <c r="M37">
        <v>30143.01</v>
      </c>
      <c r="N37" t="s">
        <v>7</v>
      </c>
      <c r="O37">
        <v>387781.01</v>
      </c>
      <c r="P37" t="s">
        <v>33</v>
      </c>
      <c r="Q37" t="s">
        <v>8</v>
      </c>
      <c r="R37">
        <v>119309359</v>
      </c>
      <c r="S37">
        <v>119309359</v>
      </c>
      <c r="T37">
        <v>119309359</v>
      </c>
      <c r="U37" t="s">
        <v>31</v>
      </c>
      <c r="V37" t="s">
        <v>9</v>
      </c>
    </row>
    <row r="38" spans="1:22" x14ac:dyDescent="0.25">
      <c r="A38">
        <v>41458638970</v>
      </c>
      <c r="B38" t="s">
        <v>10</v>
      </c>
      <c r="C38" t="s">
        <v>25</v>
      </c>
      <c r="D38">
        <v>41458638970</v>
      </c>
      <c r="E38" s="1">
        <v>46211.500167245373</v>
      </c>
      <c r="F38">
        <v>115</v>
      </c>
      <c r="G38">
        <v>3</v>
      </c>
      <c r="H38" t="s">
        <v>4</v>
      </c>
      <c r="I38" t="s">
        <v>5</v>
      </c>
      <c r="J38" t="s">
        <v>6</v>
      </c>
      <c r="K38">
        <v>61949425</v>
      </c>
      <c r="L38">
        <v>406437</v>
      </c>
      <c r="M38">
        <v>49990</v>
      </c>
      <c r="N38" t="s">
        <v>7</v>
      </c>
      <c r="O38">
        <v>645145.71</v>
      </c>
      <c r="P38" t="s">
        <v>34</v>
      </c>
      <c r="Q38" t="s">
        <v>8</v>
      </c>
      <c r="R38">
        <v>118924208</v>
      </c>
      <c r="S38">
        <v>118924208</v>
      </c>
      <c r="T38">
        <v>118924208</v>
      </c>
      <c r="U38" t="s">
        <v>35</v>
      </c>
      <c r="V38" t="s">
        <v>9</v>
      </c>
    </row>
    <row r="39" spans="1:22" x14ac:dyDescent="0.25">
      <c r="A39">
        <v>41483254891</v>
      </c>
      <c r="B39" t="s">
        <v>10</v>
      </c>
      <c r="C39" t="s">
        <v>25</v>
      </c>
      <c r="D39">
        <v>41483254891</v>
      </c>
      <c r="E39" s="1">
        <v>46226.731042407409</v>
      </c>
      <c r="F39">
        <v>115</v>
      </c>
      <c r="G39">
        <v>3</v>
      </c>
      <c r="H39" t="s">
        <v>4</v>
      </c>
      <c r="I39" t="s">
        <v>5</v>
      </c>
      <c r="J39" t="s">
        <v>6</v>
      </c>
      <c r="K39">
        <v>73114139</v>
      </c>
      <c r="L39">
        <v>406437</v>
      </c>
      <c r="M39">
        <v>100000</v>
      </c>
      <c r="N39" t="s">
        <v>7</v>
      </c>
      <c r="O39">
        <v>1298483.98</v>
      </c>
      <c r="P39" t="s">
        <v>36</v>
      </c>
      <c r="Q39" t="s">
        <v>8</v>
      </c>
      <c r="R39">
        <v>119228773</v>
      </c>
      <c r="S39">
        <v>119228773</v>
      </c>
      <c r="T39">
        <v>119228773</v>
      </c>
      <c r="U39" t="s">
        <v>37</v>
      </c>
      <c r="V39" t="s">
        <v>15</v>
      </c>
    </row>
    <row r="40" spans="1:22" x14ac:dyDescent="0.25">
      <c r="A40">
        <v>41483063386</v>
      </c>
      <c r="B40" t="s">
        <v>2</v>
      </c>
      <c r="C40" t="s">
        <v>25</v>
      </c>
      <c r="D40">
        <v>41483063386</v>
      </c>
      <c r="E40" s="1">
        <v>46226.662101180555</v>
      </c>
      <c r="F40">
        <v>115</v>
      </c>
      <c r="G40">
        <v>3</v>
      </c>
      <c r="H40" t="s">
        <v>4</v>
      </c>
      <c r="I40" t="s">
        <v>5</v>
      </c>
      <c r="J40" t="s">
        <v>6</v>
      </c>
      <c r="K40">
        <v>83372888</v>
      </c>
      <c r="L40">
        <v>608407</v>
      </c>
      <c r="M40">
        <v>80000</v>
      </c>
      <c r="N40" t="s">
        <v>7</v>
      </c>
      <c r="O40">
        <v>1038787.21</v>
      </c>
      <c r="P40" t="s">
        <v>38</v>
      </c>
      <c r="Q40" t="s">
        <v>8</v>
      </c>
      <c r="R40">
        <v>122720485</v>
      </c>
      <c r="S40">
        <v>122720485</v>
      </c>
      <c r="T40">
        <v>122720485</v>
      </c>
      <c r="U40" t="s">
        <v>39</v>
      </c>
      <c r="V40" t="s">
        <v>9</v>
      </c>
    </row>
    <row r="41" spans="1:22" x14ac:dyDescent="0.25">
      <c r="A41">
        <v>41493575842</v>
      </c>
      <c r="B41" t="s">
        <v>10</v>
      </c>
      <c r="C41" t="s">
        <v>25</v>
      </c>
      <c r="D41">
        <v>41493575842</v>
      </c>
      <c r="E41" s="1">
        <v>46231.883915451392</v>
      </c>
      <c r="F41">
        <v>115</v>
      </c>
      <c r="G41">
        <v>3</v>
      </c>
      <c r="H41" t="s">
        <v>4</v>
      </c>
      <c r="I41" t="s">
        <v>5</v>
      </c>
      <c r="J41" t="s">
        <v>6</v>
      </c>
      <c r="K41">
        <v>13117510</v>
      </c>
      <c r="L41">
        <v>608407</v>
      </c>
      <c r="M41">
        <v>100000</v>
      </c>
      <c r="N41" t="s">
        <v>7</v>
      </c>
      <c r="O41">
        <v>1298483.98</v>
      </c>
      <c r="P41" t="s">
        <v>268</v>
      </c>
      <c r="Q41" t="s">
        <v>8</v>
      </c>
      <c r="R41">
        <v>119625572</v>
      </c>
      <c r="S41">
        <v>119625572</v>
      </c>
      <c r="T41">
        <v>119625572</v>
      </c>
      <c r="U41" t="s">
        <v>269</v>
      </c>
      <c r="V41" t="s">
        <v>9</v>
      </c>
    </row>
    <row r="42" spans="1:22" x14ac:dyDescent="0.25">
      <c r="A42">
        <v>41494751270</v>
      </c>
      <c r="B42" t="s">
        <v>10</v>
      </c>
      <c r="C42" t="s">
        <v>25</v>
      </c>
      <c r="D42">
        <v>41494751270</v>
      </c>
      <c r="E42" s="1">
        <v>46232.584292164349</v>
      </c>
      <c r="F42">
        <v>115</v>
      </c>
      <c r="G42">
        <v>3</v>
      </c>
      <c r="H42" t="s">
        <v>4</v>
      </c>
      <c r="I42" t="s">
        <v>5</v>
      </c>
      <c r="J42" t="s">
        <v>6</v>
      </c>
      <c r="K42">
        <v>89260625</v>
      </c>
      <c r="L42">
        <v>230120</v>
      </c>
      <c r="M42">
        <v>75000</v>
      </c>
      <c r="N42" t="s">
        <v>7</v>
      </c>
      <c r="O42">
        <v>973862.99</v>
      </c>
      <c r="P42" t="s">
        <v>270</v>
      </c>
      <c r="Q42" t="s">
        <v>8</v>
      </c>
      <c r="R42">
        <v>110818184</v>
      </c>
      <c r="S42">
        <v>110818184</v>
      </c>
      <c r="T42">
        <v>110818184</v>
      </c>
      <c r="U42" t="s">
        <v>271</v>
      </c>
      <c r="V42" t="s">
        <v>15</v>
      </c>
    </row>
    <row r="43" spans="1:22" x14ac:dyDescent="0.25">
      <c r="A43">
        <v>41494217700</v>
      </c>
      <c r="B43" t="s">
        <v>10</v>
      </c>
      <c r="C43" t="s">
        <v>25</v>
      </c>
      <c r="D43">
        <v>41494217700</v>
      </c>
      <c r="E43" s="1">
        <v>46232.388965416663</v>
      </c>
      <c r="F43">
        <v>115</v>
      </c>
      <c r="G43">
        <v>3</v>
      </c>
      <c r="H43" t="s">
        <v>4</v>
      </c>
      <c r="I43" t="s">
        <v>5</v>
      </c>
      <c r="J43" t="s">
        <v>6</v>
      </c>
      <c r="K43">
        <v>89260625</v>
      </c>
      <c r="L43">
        <v>230120</v>
      </c>
      <c r="M43">
        <v>75000</v>
      </c>
      <c r="N43" t="s">
        <v>7</v>
      </c>
      <c r="O43">
        <v>973862.99</v>
      </c>
      <c r="P43" t="s">
        <v>270</v>
      </c>
      <c r="Q43" t="s">
        <v>8</v>
      </c>
      <c r="R43">
        <v>110818184</v>
      </c>
      <c r="S43">
        <v>110818184</v>
      </c>
      <c r="T43">
        <v>110818184</v>
      </c>
      <c r="U43" t="s">
        <v>271</v>
      </c>
      <c r="V43" t="s">
        <v>15</v>
      </c>
    </row>
    <row r="44" spans="1:22" x14ac:dyDescent="0.25">
      <c r="A44">
        <v>41504465001</v>
      </c>
      <c r="B44" t="s">
        <v>10</v>
      </c>
      <c r="C44" t="s">
        <v>25</v>
      </c>
      <c r="D44">
        <v>41504465001</v>
      </c>
      <c r="E44" s="1">
        <v>46238.723351250002</v>
      </c>
      <c r="F44">
        <v>115</v>
      </c>
      <c r="G44">
        <v>3</v>
      </c>
      <c r="H44" t="s">
        <v>272</v>
      </c>
      <c r="I44" t="s">
        <v>5</v>
      </c>
      <c r="J44" t="s">
        <v>6</v>
      </c>
      <c r="K44">
        <v>12571423</v>
      </c>
      <c r="L44">
        <v>165187</v>
      </c>
      <c r="M44">
        <v>100000</v>
      </c>
      <c r="N44" t="s">
        <v>7</v>
      </c>
      <c r="O44">
        <v>1298483.98</v>
      </c>
      <c r="P44" t="s">
        <v>273</v>
      </c>
      <c r="Q44" t="s">
        <v>8</v>
      </c>
      <c r="R44">
        <v>104115159</v>
      </c>
      <c r="S44">
        <v>104115159</v>
      </c>
      <c r="T44">
        <v>104115159</v>
      </c>
      <c r="U44" t="s">
        <v>274</v>
      </c>
      <c r="V44" t="s">
        <v>9</v>
      </c>
    </row>
    <row r="45" spans="1:22" x14ac:dyDescent="0.25">
      <c r="A45">
        <v>41507542452</v>
      </c>
      <c r="B45" t="s">
        <v>2</v>
      </c>
      <c r="C45" t="s">
        <v>25</v>
      </c>
      <c r="D45">
        <v>41507542452</v>
      </c>
      <c r="E45" s="1">
        <v>46240.723994270833</v>
      </c>
      <c r="F45">
        <v>115</v>
      </c>
      <c r="G45">
        <v>3</v>
      </c>
      <c r="H45" t="s">
        <v>4</v>
      </c>
      <c r="I45" t="s">
        <v>5</v>
      </c>
      <c r="J45" t="s">
        <v>6</v>
      </c>
      <c r="K45">
        <v>83770192</v>
      </c>
      <c r="L45">
        <v>203964</v>
      </c>
      <c r="M45">
        <v>99000</v>
      </c>
      <c r="N45" t="s">
        <v>7</v>
      </c>
      <c r="O45">
        <v>1285499.1399999999</v>
      </c>
      <c r="P45" t="s">
        <v>275</v>
      </c>
      <c r="Q45" t="s">
        <v>8</v>
      </c>
      <c r="R45">
        <v>111831293</v>
      </c>
      <c r="S45">
        <v>111831293</v>
      </c>
      <c r="T45">
        <v>111831293</v>
      </c>
      <c r="U45" t="s">
        <v>276</v>
      </c>
      <c r="V45" t="s">
        <v>9</v>
      </c>
    </row>
    <row r="46" spans="1:22" x14ac:dyDescent="0.25">
      <c r="A46">
        <v>41508569084</v>
      </c>
      <c r="B46" t="s">
        <v>10</v>
      </c>
      <c r="C46" t="s">
        <v>25</v>
      </c>
      <c r="D46">
        <v>41508569084</v>
      </c>
      <c r="E46" s="1">
        <v>46241.525195162038</v>
      </c>
      <c r="F46">
        <v>115</v>
      </c>
      <c r="G46">
        <v>3</v>
      </c>
      <c r="H46" t="s">
        <v>4</v>
      </c>
      <c r="I46" t="s">
        <v>5</v>
      </c>
      <c r="J46" t="s">
        <v>6</v>
      </c>
      <c r="K46">
        <v>90673684</v>
      </c>
      <c r="L46">
        <v>204451</v>
      </c>
      <c r="M46">
        <v>49999</v>
      </c>
      <c r="N46" t="s">
        <v>7</v>
      </c>
      <c r="O46">
        <v>649229.06000000006</v>
      </c>
      <c r="P46" t="s">
        <v>277</v>
      </c>
      <c r="Q46" t="s">
        <v>8</v>
      </c>
      <c r="R46">
        <v>145002978</v>
      </c>
      <c r="S46">
        <v>145002978</v>
      </c>
      <c r="T46">
        <v>145002978</v>
      </c>
      <c r="U46" t="s">
        <v>278</v>
      </c>
      <c r="V46" t="s">
        <v>9</v>
      </c>
    </row>
    <row r="47" spans="1:22" x14ac:dyDescent="0.25">
      <c r="A47">
        <v>41447338345</v>
      </c>
      <c r="B47" t="s">
        <v>2</v>
      </c>
      <c r="C47" t="s">
        <v>40</v>
      </c>
      <c r="D47">
        <v>41447338345</v>
      </c>
      <c r="E47" s="1">
        <v>46204.567366400464</v>
      </c>
      <c r="F47">
        <v>115</v>
      </c>
      <c r="G47">
        <v>3</v>
      </c>
      <c r="H47" t="s">
        <v>4</v>
      </c>
      <c r="I47" t="s">
        <v>5</v>
      </c>
      <c r="J47" t="s">
        <v>6</v>
      </c>
      <c r="K47">
        <v>42272574</v>
      </c>
      <c r="L47">
        <v>406437</v>
      </c>
      <c r="M47">
        <v>30143.03</v>
      </c>
      <c r="N47" t="s">
        <v>7</v>
      </c>
      <c r="O47">
        <v>387781.2</v>
      </c>
      <c r="P47" t="s">
        <v>32</v>
      </c>
      <c r="Q47" t="s">
        <v>8</v>
      </c>
      <c r="R47">
        <v>119309359</v>
      </c>
      <c r="S47">
        <v>119309359</v>
      </c>
      <c r="T47">
        <v>119309359</v>
      </c>
      <c r="U47" t="s">
        <v>31</v>
      </c>
      <c r="V47" t="s">
        <v>9</v>
      </c>
    </row>
    <row r="48" spans="1:22" x14ac:dyDescent="0.25">
      <c r="A48">
        <v>41447336274</v>
      </c>
      <c r="B48" t="s">
        <v>2</v>
      </c>
      <c r="C48" t="s">
        <v>40</v>
      </c>
      <c r="D48">
        <v>41447336274</v>
      </c>
      <c r="E48" s="1">
        <v>46204.566646631945</v>
      </c>
      <c r="F48">
        <v>115</v>
      </c>
      <c r="G48">
        <v>3</v>
      </c>
      <c r="H48" t="s">
        <v>4</v>
      </c>
      <c r="I48" t="s">
        <v>5</v>
      </c>
      <c r="J48" t="s">
        <v>6</v>
      </c>
      <c r="K48">
        <v>81595468</v>
      </c>
      <c r="L48">
        <v>406437</v>
      </c>
      <c r="M48">
        <v>30143.01</v>
      </c>
      <c r="N48" t="s">
        <v>7</v>
      </c>
      <c r="O48">
        <v>387781.01</v>
      </c>
      <c r="P48" t="s">
        <v>33</v>
      </c>
      <c r="Q48" t="s">
        <v>8</v>
      </c>
      <c r="R48">
        <v>119309359</v>
      </c>
      <c r="S48">
        <v>119309359</v>
      </c>
      <c r="T48">
        <v>119309359</v>
      </c>
      <c r="U48" t="s">
        <v>31</v>
      </c>
      <c r="V48" t="s">
        <v>9</v>
      </c>
    </row>
    <row r="49" spans="1:22" x14ac:dyDescent="0.25">
      <c r="A49">
        <v>41502622988</v>
      </c>
      <c r="B49" t="s">
        <v>10</v>
      </c>
      <c r="C49" t="s">
        <v>40</v>
      </c>
      <c r="D49">
        <v>41502622988</v>
      </c>
      <c r="E49" s="1">
        <v>46237.631411585651</v>
      </c>
      <c r="F49">
        <v>69</v>
      </c>
      <c r="G49">
        <v>3</v>
      </c>
      <c r="H49" t="s">
        <v>143</v>
      </c>
      <c r="I49" t="s">
        <v>5</v>
      </c>
      <c r="J49" t="s">
        <v>6</v>
      </c>
      <c r="K49">
        <v>9017860</v>
      </c>
      <c r="L49">
        <v>403232</v>
      </c>
      <c r="M49">
        <v>500000</v>
      </c>
      <c r="N49" t="s">
        <v>7</v>
      </c>
      <c r="O49">
        <v>6492420.0099999998</v>
      </c>
      <c r="P49" t="s">
        <v>279</v>
      </c>
      <c r="Q49" t="s">
        <v>8</v>
      </c>
      <c r="R49">
        <v>108407818</v>
      </c>
      <c r="S49">
        <v>108407818</v>
      </c>
      <c r="T49">
        <v>108407818</v>
      </c>
      <c r="U49" t="s">
        <v>280</v>
      </c>
      <c r="V49" t="s">
        <v>9</v>
      </c>
    </row>
    <row r="50" spans="1:22" x14ac:dyDescent="0.25">
      <c r="A50">
        <v>41507542452</v>
      </c>
      <c r="B50" t="s">
        <v>2</v>
      </c>
      <c r="C50" t="s">
        <v>40</v>
      </c>
      <c r="D50">
        <v>41507542452</v>
      </c>
      <c r="E50" s="1">
        <v>46240.723994270833</v>
      </c>
      <c r="F50">
        <v>115</v>
      </c>
      <c r="G50">
        <v>3</v>
      </c>
      <c r="H50" t="s">
        <v>4</v>
      </c>
      <c r="I50" t="s">
        <v>5</v>
      </c>
      <c r="J50" t="s">
        <v>6</v>
      </c>
      <c r="K50">
        <v>83770192</v>
      </c>
      <c r="L50">
        <v>203964</v>
      </c>
      <c r="M50">
        <v>99000</v>
      </c>
      <c r="N50" t="s">
        <v>7</v>
      </c>
      <c r="O50">
        <v>1285499.1399999999</v>
      </c>
      <c r="P50" t="s">
        <v>275</v>
      </c>
      <c r="Q50" t="s">
        <v>8</v>
      </c>
      <c r="R50">
        <v>111831293</v>
      </c>
      <c r="S50">
        <v>111831293</v>
      </c>
      <c r="T50">
        <v>111831293</v>
      </c>
      <c r="U50" t="s">
        <v>276</v>
      </c>
      <c r="V50" t="s">
        <v>9</v>
      </c>
    </row>
    <row r="51" spans="1:22" x14ac:dyDescent="0.25">
      <c r="A51">
        <v>41447927653</v>
      </c>
      <c r="B51" t="s">
        <v>10</v>
      </c>
      <c r="C51" t="s">
        <v>42</v>
      </c>
      <c r="D51">
        <v>41447927653</v>
      </c>
      <c r="E51" s="1">
        <v>46204.759448182871</v>
      </c>
      <c r="F51">
        <v>115</v>
      </c>
      <c r="G51">
        <v>3</v>
      </c>
      <c r="H51" t="s">
        <v>4</v>
      </c>
      <c r="I51" t="s">
        <v>5</v>
      </c>
      <c r="J51" t="s">
        <v>6</v>
      </c>
      <c r="K51">
        <v>56183501</v>
      </c>
      <c r="L51">
        <v>600155</v>
      </c>
      <c r="M51">
        <v>100000</v>
      </c>
      <c r="N51" t="s">
        <v>7</v>
      </c>
      <c r="O51">
        <v>1286470.56</v>
      </c>
      <c r="P51" t="s">
        <v>50</v>
      </c>
      <c r="Q51" t="s">
        <v>8</v>
      </c>
      <c r="R51">
        <v>113570774</v>
      </c>
      <c r="S51">
        <v>113570774</v>
      </c>
      <c r="T51">
        <v>113570774</v>
      </c>
      <c r="U51" t="s">
        <v>51</v>
      </c>
      <c r="V51" t="s">
        <v>52</v>
      </c>
    </row>
    <row r="52" spans="1:22" x14ac:dyDescent="0.25">
      <c r="A52">
        <v>41447679199</v>
      </c>
      <c r="B52" t="s">
        <v>10</v>
      </c>
      <c r="C52" t="s">
        <v>42</v>
      </c>
      <c r="D52">
        <v>41447679199</v>
      </c>
      <c r="E52" s="1">
        <v>46204.67572190972</v>
      </c>
      <c r="F52">
        <v>115</v>
      </c>
      <c r="G52">
        <v>3</v>
      </c>
      <c r="H52" t="s">
        <v>4</v>
      </c>
      <c r="I52" t="s">
        <v>5</v>
      </c>
      <c r="J52" t="s">
        <v>6</v>
      </c>
      <c r="K52">
        <v>9204083</v>
      </c>
      <c r="L52">
        <v>40075</v>
      </c>
      <c r="M52">
        <v>50000</v>
      </c>
      <c r="N52" t="s">
        <v>7</v>
      </c>
      <c r="O52">
        <v>643235.32999999996</v>
      </c>
      <c r="P52" t="s">
        <v>53</v>
      </c>
      <c r="Q52" t="s">
        <v>8</v>
      </c>
      <c r="R52">
        <v>142592674</v>
      </c>
      <c r="S52">
        <v>142592674</v>
      </c>
      <c r="T52">
        <v>142592674</v>
      </c>
      <c r="U52" t="s">
        <v>54</v>
      </c>
      <c r="V52" t="s">
        <v>15</v>
      </c>
    </row>
    <row r="53" spans="1:22" x14ac:dyDescent="0.25">
      <c r="A53">
        <v>41447332030</v>
      </c>
      <c r="B53" t="s">
        <v>10</v>
      </c>
      <c r="C53" t="s">
        <v>42</v>
      </c>
      <c r="D53">
        <v>41447332030</v>
      </c>
      <c r="E53" s="1">
        <v>46204.565191712965</v>
      </c>
      <c r="F53">
        <v>115</v>
      </c>
      <c r="G53">
        <v>3</v>
      </c>
      <c r="H53" t="s">
        <v>4</v>
      </c>
      <c r="I53" t="s">
        <v>5</v>
      </c>
      <c r="J53" t="s">
        <v>6</v>
      </c>
      <c r="K53">
        <v>9204083</v>
      </c>
      <c r="L53">
        <v>40075</v>
      </c>
      <c r="M53">
        <v>50000</v>
      </c>
      <c r="N53" t="s">
        <v>7</v>
      </c>
      <c r="O53">
        <v>643235.32999999996</v>
      </c>
      <c r="P53" t="s">
        <v>53</v>
      </c>
      <c r="Q53" t="s">
        <v>8</v>
      </c>
      <c r="R53">
        <v>142592674</v>
      </c>
      <c r="S53">
        <v>142592674</v>
      </c>
      <c r="T53">
        <v>142592674</v>
      </c>
      <c r="U53" t="s">
        <v>54</v>
      </c>
      <c r="V53" t="s">
        <v>15</v>
      </c>
    </row>
    <row r="54" spans="1:22" x14ac:dyDescent="0.25">
      <c r="A54">
        <v>41446618157</v>
      </c>
      <c r="B54" t="s">
        <v>10</v>
      </c>
      <c r="C54" t="s">
        <v>42</v>
      </c>
      <c r="D54">
        <v>41446618157</v>
      </c>
      <c r="E54" s="1">
        <v>46204.277276319444</v>
      </c>
      <c r="F54">
        <v>115</v>
      </c>
      <c r="G54">
        <v>3</v>
      </c>
      <c r="H54" t="s">
        <v>4</v>
      </c>
      <c r="I54" t="s">
        <v>5</v>
      </c>
      <c r="J54" t="s">
        <v>6</v>
      </c>
      <c r="K54">
        <v>10779032</v>
      </c>
      <c r="L54">
        <v>201854</v>
      </c>
      <c r="M54">
        <v>50000</v>
      </c>
      <c r="N54" t="s">
        <v>7</v>
      </c>
      <c r="O54">
        <v>643235.32999999996</v>
      </c>
      <c r="P54" t="s">
        <v>55</v>
      </c>
      <c r="Q54" t="s">
        <v>8</v>
      </c>
      <c r="R54">
        <v>142592674</v>
      </c>
      <c r="S54">
        <v>142592674</v>
      </c>
      <c r="T54">
        <v>142592674</v>
      </c>
      <c r="U54" t="s">
        <v>54</v>
      </c>
      <c r="V54" t="s">
        <v>15</v>
      </c>
    </row>
    <row r="55" spans="1:22" x14ac:dyDescent="0.25">
      <c r="A55">
        <v>41449900442</v>
      </c>
      <c r="B55" t="s">
        <v>10</v>
      </c>
      <c r="C55" t="s">
        <v>42</v>
      </c>
      <c r="D55">
        <v>41449900442</v>
      </c>
      <c r="E55" s="1">
        <v>46205.823843437502</v>
      </c>
      <c r="F55">
        <v>115</v>
      </c>
      <c r="G55">
        <v>3</v>
      </c>
      <c r="H55" t="s">
        <v>4</v>
      </c>
      <c r="I55" t="s">
        <v>5</v>
      </c>
      <c r="J55" t="s">
        <v>6</v>
      </c>
      <c r="K55">
        <v>50604895</v>
      </c>
      <c r="L55">
        <v>204673</v>
      </c>
      <c r="M55">
        <v>25000</v>
      </c>
      <c r="N55" t="s">
        <v>7</v>
      </c>
      <c r="O55">
        <v>322637.40999999997</v>
      </c>
      <c r="P55" t="s">
        <v>56</v>
      </c>
      <c r="Q55" t="s">
        <v>8</v>
      </c>
      <c r="R55">
        <v>148159213</v>
      </c>
      <c r="S55">
        <v>148159213</v>
      </c>
      <c r="T55">
        <v>148159213</v>
      </c>
      <c r="U55" t="s">
        <v>57</v>
      </c>
      <c r="V55" t="s">
        <v>9</v>
      </c>
    </row>
    <row r="56" spans="1:22" x14ac:dyDescent="0.25">
      <c r="A56">
        <v>41449578507</v>
      </c>
      <c r="B56" t="s">
        <v>10</v>
      </c>
      <c r="C56" t="s">
        <v>42</v>
      </c>
      <c r="D56">
        <v>41449578507</v>
      </c>
      <c r="E56" s="1">
        <v>46205.701892407407</v>
      </c>
      <c r="F56">
        <v>115</v>
      </c>
      <c r="G56">
        <v>3</v>
      </c>
      <c r="H56" t="s">
        <v>4</v>
      </c>
      <c r="I56" t="s">
        <v>5</v>
      </c>
      <c r="J56" t="s">
        <v>6</v>
      </c>
      <c r="K56">
        <v>61658919</v>
      </c>
      <c r="L56">
        <v>406437</v>
      </c>
      <c r="M56">
        <v>90000</v>
      </c>
      <c r="N56" t="s">
        <v>7</v>
      </c>
      <c r="O56">
        <v>1161494.57</v>
      </c>
      <c r="P56" t="s">
        <v>58</v>
      </c>
      <c r="Q56" t="s">
        <v>8</v>
      </c>
      <c r="R56">
        <v>86816444</v>
      </c>
      <c r="S56">
        <v>86816444</v>
      </c>
      <c r="T56">
        <v>86816444</v>
      </c>
      <c r="U56" t="s">
        <v>59</v>
      </c>
      <c r="V56" t="s">
        <v>9</v>
      </c>
    </row>
    <row r="57" spans="1:22" x14ac:dyDescent="0.25">
      <c r="A57">
        <v>41451779027</v>
      </c>
      <c r="B57" t="s">
        <v>10</v>
      </c>
      <c r="C57" t="s">
        <v>42</v>
      </c>
      <c r="D57">
        <v>41451779027</v>
      </c>
      <c r="E57" s="1">
        <v>46206.854324143518</v>
      </c>
      <c r="F57">
        <v>115</v>
      </c>
      <c r="G57">
        <v>3</v>
      </c>
      <c r="H57" t="s">
        <v>4</v>
      </c>
      <c r="I57" t="s">
        <v>5</v>
      </c>
      <c r="J57" t="s">
        <v>6</v>
      </c>
      <c r="K57">
        <v>20881107</v>
      </c>
      <c r="L57">
        <v>236247</v>
      </c>
      <c r="M57">
        <v>100000</v>
      </c>
      <c r="N57" t="s">
        <v>7</v>
      </c>
      <c r="O57">
        <v>1290549.53</v>
      </c>
      <c r="P57" t="s">
        <v>36</v>
      </c>
      <c r="Q57" t="s">
        <v>8</v>
      </c>
      <c r="R57">
        <v>127621456</v>
      </c>
      <c r="S57">
        <v>127621456</v>
      </c>
      <c r="T57">
        <v>127621456</v>
      </c>
      <c r="U57" t="s">
        <v>60</v>
      </c>
      <c r="V57" t="s">
        <v>9</v>
      </c>
    </row>
    <row r="58" spans="1:22" x14ac:dyDescent="0.25">
      <c r="A58">
        <v>41451347753</v>
      </c>
      <c r="B58" t="s">
        <v>2</v>
      </c>
      <c r="C58" t="s">
        <v>42</v>
      </c>
      <c r="D58">
        <v>41451347753</v>
      </c>
      <c r="E58" s="1">
        <v>46206.680642743057</v>
      </c>
      <c r="F58">
        <v>115</v>
      </c>
      <c r="G58">
        <v>3</v>
      </c>
      <c r="H58" t="s">
        <v>4</v>
      </c>
      <c r="I58" t="s">
        <v>5</v>
      </c>
      <c r="J58" t="s">
        <v>6</v>
      </c>
      <c r="K58">
        <v>16281625</v>
      </c>
      <c r="L58">
        <v>608407</v>
      </c>
      <c r="M58">
        <v>100000</v>
      </c>
      <c r="N58" t="s">
        <v>7</v>
      </c>
      <c r="O58">
        <v>1290549.53</v>
      </c>
      <c r="P58" t="s">
        <v>61</v>
      </c>
      <c r="Q58" t="s">
        <v>8</v>
      </c>
      <c r="R58">
        <v>128533080</v>
      </c>
      <c r="S58">
        <v>128533080</v>
      </c>
      <c r="T58">
        <v>128533080</v>
      </c>
      <c r="U58" t="s">
        <v>62</v>
      </c>
      <c r="V58" t="s">
        <v>63</v>
      </c>
    </row>
    <row r="59" spans="1:22" x14ac:dyDescent="0.25">
      <c r="A59">
        <v>41451344908</v>
      </c>
      <c r="B59" t="s">
        <v>10</v>
      </c>
      <c r="C59" t="s">
        <v>42</v>
      </c>
      <c r="D59">
        <v>41451344908</v>
      </c>
      <c r="E59" s="1">
        <v>46206.679814247684</v>
      </c>
      <c r="F59">
        <v>115</v>
      </c>
      <c r="G59">
        <v>3</v>
      </c>
      <c r="H59" t="s">
        <v>4</v>
      </c>
      <c r="I59" t="s">
        <v>5</v>
      </c>
      <c r="J59" t="s">
        <v>6</v>
      </c>
      <c r="K59">
        <v>16281625</v>
      </c>
      <c r="L59">
        <v>608407</v>
      </c>
      <c r="M59">
        <v>100000</v>
      </c>
      <c r="N59" t="s">
        <v>7</v>
      </c>
      <c r="O59">
        <v>1290549.53</v>
      </c>
      <c r="P59" t="s">
        <v>61</v>
      </c>
      <c r="Q59" t="s">
        <v>8</v>
      </c>
      <c r="R59">
        <v>128533080</v>
      </c>
      <c r="S59">
        <v>128533080</v>
      </c>
      <c r="T59">
        <v>128533080</v>
      </c>
      <c r="U59" t="s">
        <v>62</v>
      </c>
      <c r="V59" t="s">
        <v>63</v>
      </c>
    </row>
    <row r="60" spans="1:22" x14ac:dyDescent="0.25">
      <c r="A60">
        <v>41451349515</v>
      </c>
      <c r="B60" t="s">
        <v>2</v>
      </c>
      <c r="C60" t="s">
        <v>42</v>
      </c>
      <c r="D60">
        <v>41451349515</v>
      </c>
      <c r="E60" s="1">
        <v>46206.681241840277</v>
      </c>
      <c r="F60">
        <v>115</v>
      </c>
      <c r="G60">
        <v>3</v>
      </c>
      <c r="H60" t="s">
        <v>4</v>
      </c>
      <c r="I60" t="s">
        <v>5</v>
      </c>
      <c r="J60" t="s">
        <v>6</v>
      </c>
      <c r="K60">
        <v>16281625</v>
      </c>
      <c r="L60">
        <v>608407</v>
      </c>
      <c r="M60">
        <v>50000</v>
      </c>
      <c r="N60" t="s">
        <v>7</v>
      </c>
      <c r="O60">
        <v>645274.81999999995</v>
      </c>
      <c r="P60" t="s">
        <v>61</v>
      </c>
      <c r="Q60" t="s">
        <v>8</v>
      </c>
      <c r="R60">
        <v>128533080</v>
      </c>
      <c r="S60">
        <v>128533080</v>
      </c>
      <c r="T60">
        <v>128533080</v>
      </c>
      <c r="U60" t="s">
        <v>62</v>
      </c>
      <c r="V60" t="s">
        <v>63</v>
      </c>
    </row>
    <row r="61" spans="1:22" x14ac:dyDescent="0.25">
      <c r="A61">
        <v>41451187210</v>
      </c>
      <c r="B61" t="s">
        <v>10</v>
      </c>
      <c r="C61" t="s">
        <v>42</v>
      </c>
      <c r="D61">
        <v>41451187210</v>
      </c>
      <c r="E61" s="1">
        <v>46206.630490891206</v>
      </c>
      <c r="F61">
        <v>115</v>
      </c>
      <c r="G61">
        <v>3</v>
      </c>
      <c r="H61" t="s">
        <v>4</v>
      </c>
      <c r="I61" t="s">
        <v>5</v>
      </c>
      <c r="J61" t="s">
        <v>6</v>
      </c>
      <c r="K61">
        <v>37257</v>
      </c>
      <c r="L61">
        <v>309904</v>
      </c>
      <c r="M61">
        <v>20000</v>
      </c>
      <c r="N61" t="s">
        <v>7</v>
      </c>
      <c r="O61">
        <v>258109.93</v>
      </c>
      <c r="P61" t="s">
        <v>45</v>
      </c>
      <c r="Q61" t="s">
        <v>11</v>
      </c>
      <c r="R61">
        <v>147561047</v>
      </c>
      <c r="S61">
        <v>147561047</v>
      </c>
      <c r="T61">
        <v>147561047</v>
      </c>
      <c r="U61" t="s">
        <v>64</v>
      </c>
      <c r="V61" t="s">
        <v>9</v>
      </c>
    </row>
    <row r="62" spans="1:22" x14ac:dyDescent="0.25">
      <c r="A62">
        <v>41451241623</v>
      </c>
      <c r="B62" t="s">
        <v>10</v>
      </c>
      <c r="C62" t="s">
        <v>42</v>
      </c>
      <c r="D62">
        <v>41451241623</v>
      </c>
      <c r="E62" s="1">
        <v>46206.647496817131</v>
      </c>
      <c r="F62">
        <v>115</v>
      </c>
      <c r="G62">
        <v>3</v>
      </c>
      <c r="H62" t="s">
        <v>4</v>
      </c>
      <c r="I62" t="s">
        <v>5</v>
      </c>
      <c r="J62" t="s">
        <v>6</v>
      </c>
      <c r="K62">
        <v>16281625</v>
      </c>
      <c r="L62">
        <v>608407</v>
      </c>
      <c r="M62">
        <v>100000</v>
      </c>
      <c r="N62" t="s">
        <v>7</v>
      </c>
      <c r="O62">
        <v>1290549.53</v>
      </c>
      <c r="P62" t="s">
        <v>61</v>
      </c>
      <c r="Q62" t="s">
        <v>8</v>
      </c>
      <c r="R62">
        <v>128533080</v>
      </c>
      <c r="S62">
        <v>128533080</v>
      </c>
      <c r="T62">
        <v>128533080</v>
      </c>
      <c r="U62" t="s">
        <v>62</v>
      </c>
      <c r="V62" t="s">
        <v>63</v>
      </c>
    </row>
    <row r="63" spans="1:22" x14ac:dyDescent="0.25">
      <c r="A63">
        <v>41451007506</v>
      </c>
      <c r="B63" t="s">
        <v>10</v>
      </c>
      <c r="C63" t="s">
        <v>42</v>
      </c>
      <c r="D63">
        <v>41451007506</v>
      </c>
      <c r="E63" s="1">
        <v>46206.576404097221</v>
      </c>
      <c r="F63">
        <v>115</v>
      </c>
      <c r="G63">
        <v>3</v>
      </c>
      <c r="H63" t="s">
        <v>65</v>
      </c>
      <c r="I63" t="s">
        <v>5</v>
      </c>
      <c r="J63" t="s">
        <v>6</v>
      </c>
      <c r="K63">
        <v>81392166</v>
      </c>
      <c r="L63">
        <v>403108</v>
      </c>
      <c r="M63">
        <v>20000</v>
      </c>
      <c r="N63" t="s">
        <v>7</v>
      </c>
      <c r="O63">
        <v>258109.93</v>
      </c>
      <c r="P63" t="s">
        <v>66</v>
      </c>
      <c r="Q63" t="s">
        <v>11</v>
      </c>
      <c r="R63">
        <v>110038171</v>
      </c>
      <c r="S63">
        <v>110038171</v>
      </c>
      <c r="T63">
        <v>110038171</v>
      </c>
      <c r="U63" t="s">
        <v>67</v>
      </c>
      <c r="V63" t="s">
        <v>9</v>
      </c>
    </row>
    <row r="64" spans="1:22" x14ac:dyDescent="0.25">
      <c r="A64">
        <v>41450490464</v>
      </c>
      <c r="B64" t="s">
        <v>10</v>
      </c>
      <c r="C64" t="s">
        <v>42</v>
      </c>
      <c r="D64">
        <v>41450490464</v>
      </c>
      <c r="E64" s="1">
        <v>46206.413236064815</v>
      </c>
      <c r="F64">
        <v>115</v>
      </c>
      <c r="G64">
        <v>3</v>
      </c>
      <c r="H64" t="s">
        <v>68</v>
      </c>
      <c r="I64" t="s">
        <v>5</v>
      </c>
      <c r="J64" t="s">
        <v>6</v>
      </c>
      <c r="K64">
        <v>54606</v>
      </c>
      <c r="L64">
        <v>165760</v>
      </c>
      <c r="M64">
        <v>100000</v>
      </c>
      <c r="N64" t="s">
        <v>7</v>
      </c>
      <c r="O64">
        <v>1290549.53</v>
      </c>
      <c r="P64" t="s">
        <v>69</v>
      </c>
      <c r="Q64" t="s">
        <v>8</v>
      </c>
      <c r="R64">
        <v>102909595</v>
      </c>
      <c r="S64">
        <v>102909595</v>
      </c>
      <c r="T64">
        <v>102909595</v>
      </c>
      <c r="U64" t="s">
        <v>70</v>
      </c>
      <c r="V64" t="s">
        <v>9</v>
      </c>
    </row>
    <row r="65" spans="1:22" x14ac:dyDescent="0.25">
      <c r="A65">
        <v>41450493081</v>
      </c>
      <c r="B65" t="s">
        <v>10</v>
      </c>
      <c r="C65" t="s">
        <v>42</v>
      </c>
      <c r="D65">
        <v>41450493081</v>
      </c>
      <c r="E65" s="1">
        <v>46206.41441636574</v>
      </c>
      <c r="F65">
        <v>115</v>
      </c>
      <c r="G65">
        <v>3</v>
      </c>
      <c r="H65" t="s">
        <v>68</v>
      </c>
      <c r="I65" t="s">
        <v>5</v>
      </c>
      <c r="J65" t="s">
        <v>6</v>
      </c>
      <c r="K65">
        <v>54606</v>
      </c>
      <c r="L65">
        <v>165760</v>
      </c>
      <c r="M65">
        <v>100000</v>
      </c>
      <c r="N65" t="s">
        <v>7</v>
      </c>
      <c r="O65">
        <v>1290549.53</v>
      </c>
      <c r="P65" t="s">
        <v>69</v>
      </c>
      <c r="Q65" t="s">
        <v>8</v>
      </c>
      <c r="R65">
        <v>102909595</v>
      </c>
      <c r="S65">
        <v>102909595</v>
      </c>
      <c r="T65">
        <v>102909595</v>
      </c>
      <c r="U65" t="s">
        <v>70</v>
      </c>
      <c r="V65" t="s">
        <v>9</v>
      </c>
    </row>
    <row r="66" spans="1:22" x14ac:dyDescent="0.25">
      <c r="A66">
        <v>41452695603</v>
      </c>
      <c r="B66" t="s">
        <v>10</v>
      </c>
      <c r="C66" t="s">
        <v>42</v>
      </c>
      <c r="D66">
        <v>41452695603</v>
      </c>
      <c r="E66" s="1">
        <v>46207.595467465275</v>
      </c>
      <c r="F66">
        <v>115</v>
      </c>
      <c r="G66">
        <v>3</v>
      </c>
      <c r="H66" t="s">
        <v>71</v>
      </c>
      <c r="I66" t="s">
        <v>5</v>
      </c>
      <c r="J66" t="s">
        <v>6</v>
      </c>
      <c r="K66">
        <v>4124448</v>
      </c>
      <c r="L66">
        <v>542147</v>
      </c>
      <c r="M66">
        <v>20000</v>
      </c>
      <c r="N66" t="s">
        <v>7</v>
      </c>
      <c r="O66">
        <v>258109.93</v>
      </c>
      <c r="P66" t="s">
        <v>72</v>
      </c>
      <c r="Q66" t="s">
        <v>11</v>
      </c>
      <c r="R66">
        <v>126270867</v>
      </c>
      <c r="S66">
        <v>126270867</v>
      </c>
      <c r="T66">
        <v>126270867</v>
      </c>
      <c r="U66" t="s">
        <v>73</v>
      </c>
      <c r="V66" t="s">
        <v>9</v>
      </c>
    </row>
    <row r="67" spans="1:22" x14ac:dyDescent="0.25">
      <c r="A67">
        <v>41452600239</v>
      </c>
      <c r="B67" t="s">
        <v>10</v>
      </c>
      <c r="C67" t="s">
        <v>42</v>
      </c>
      <c r="D67">
        <v>41452600239</v>
      </c>
      <c r="E67" s="1">
        <v>46207.564532847224</v>
      </c>
      <c r="F67">
        <v>115</v>
      </c>
      <c r="G67">
        <v>3</v>
      </c>
      <c r="H67" t="s">
        <v>74</v>
      </c>
      <c r="I67" t="s">
        <v>5</v>
      </c>
      <c r="J67" t="s">
        <v>6</v>
      </c>
      <c r="K67">
        <v>29562633</v>
      </c>
      <c r="L67">
        <v>50641</v>
      </c>
      <c r="M67">
        <v>14300</v>
      </c>
      <c r="N67" t="s">
        <v>7</v>
      </c>
      <c r="O67">
        <v>184548.55</v>
      </c>
      <c r="P67" t="s">
        <v>75</v>
      </c>
      <c r="Q67" t="s">
        <v>8</v>
      </c>
      <c r="R67">
        <v>145548483</v>
      </c>
      <c r="S67">
        <v>145548483</v>
      </c>
      <c r="T67">
        <v>145548483</v>
      </c>
      <c r="U67" t="s">
        <v>76</v>
      </c>
      <c r="V67" t="s">
        <v>9</v>
      </c>
    </row>
    <row r="68" spans="1:22" x14ac:dyDescent="0.25">
      <c r="A68">
        <v>41455938889</v>
      </c>
      <c r="B68" t="s">
        <v>10</v>
      </c>
      <c r="C68" t="s">
        <v>42</v>
      </c>
      <c r="D68">
        <v>41455938889</v>
      </c>
      <c r="E68" s="1">
        <v>46209.713750798612</v>
      </c>
      <c r="F68">
        <v>115</v>
      </c>
      <c r="G68">
        <v>3</v>
      </c>
      <c r="H68" t="s">
        <v>4</v>
      </c>
      <c r="I68" t="s">
        <v>5</v>
      </c>
      <c r="J68" t="s">
        <v>6</v>
      </c>
      <c r="K68">
        <v>60372471</v>
      </c>
      <c r="L68">
        <v>209056</v>
      </c>
      <c r="M68">
        <v>55000</v>
      </c>
      <c r="N68" t="s">
        <v>7</v>
      </c>
      <c r="O68">
        <v>709802.3</v>
      </c>
      <c r="P68" t="s">
        <v>77</v>
      </c>
      <c r="Q68" t="s">
        <v>8</v>
      </c>
      <c r="R68">
        <v>135227809</v>
      </c>
      <c r="S68">
        <v>135227809</v>
      </c>
      <c r="T68">
        <v>135227809</v>
      </c>
      <c r="U68" t="s">
        <v>78</v>
      </c>
      <c r="V68" t="s">
        <v>9</v>
      </c>
    </row>
    <row r="69" spans="1:22" x14ac:dyDescent="0.25">
      <c r="A69">
        <v>41463253599</v>
      </c>
      <c r="B69" t="s">
        <v>10</v>
      </c>
      <c r="C69" t="s">
        <v>42</v>
      </c>
      <c r="D69">
        <v>41463253599</v>
      </c>
      <c r="E69" s="1">
        <v>46214.292391076386</v>
      </c>
      <c r="F69">
        <v>115</v>
      </c>
      <c r="G69">
        <v>3</v>
      </c>
      <c r="H69" t="s">
        <v>4</v>
      </c>
      <c r="I69" t="s">
        <v>5</v>
      </c>
      <c r="J69" t="s">
        <v>6</v>
      </c>
      <c r="K69">
        <v>70368032</v>
      </c>
      <c r="L69">
        <v>165873</v>
      </c>
      <c r="M69">
        <v>100000</v>
      </c>
      <c r="N69" t="s">
        <v>7</v>
      </c>
      <c r="O69">
        <v>1290549.53</v>
      </c>
      <c r="P69" t="s">
        <v>79</v>
      </c>
      <c r="Q69" t="s">
        <v>8</v>
      </c>
      <c r="R69">
        <v>101421915</v>
      </c>
      <c r="S69">
        <v>101421915</v>
      </c>
      <c r="T69">
        <v>101421915</v>
      </c>
      <c r="U69" t="s">
        <v>80</v>
      </c>
      <c r="V69" t="s">
        <v>9</v>
      </c>
    </row>
    <row r="70" spans="1:22" x14ac:dyDescent="0.25">
      <c r="A70">
        <v>41466461015</v>
      </c>
      <c r="B70" t="s">
        <v>10</v>
      </c>
      <c r="C70" t="s">
        <v>42</v>
      </c>
      <c r="D70">
        <v>41466461015</v>
      </c>
      <c r="E70" s="1">
        <v>46216.558741689812</v>
      </c>
      <c r="F70">
        <v>115</v>
      </c>
      <c r="G70">
        <v>3</v>
      </c>
      <c r="H70" t="s">
        <v>49</v>
      </c>
      <c r="I70" t="s">
        <v>5</v>
      </c>
      <c r="J70" t="s">
        <v>6</v>
      </c>
      <c r="K70">
        <v>58219401</v>
      </c>
      <c r="L70">
        <v>230580</v>
      </c>
      <c r="M70">
        <v>60000</v>
      </c>
      <c r="N70" t="s">
        <v>7</v>
      </c>
      <c r="O70">
        <v>774329.78</v>
      </c>
      <c r="P70" t="s">
        <v>86</v>
      </c>
      <c r="Q70" t="s">
        <v>8</v>
      </c>
      <c r="R70">
        <v>135057461</v>
      </c>
      <c r="S70">
        <v>135057461</v>
      </c>
      <c r="T70">
        <v>135057461</v>
      </c>
      <c r="U70" t="s">
        <v>87</v>
      </c>
      <c r="V70" t="s">
        <v>15</v>
      </c>
    </row>
    <row r="71" spans="1:22" x14ac:dyDescent="0.25">
      <c r="A71">
        <v>41466483811</v>
      </c>
      <c r="B71" t="s">
        <v>10</v>
      </c>
      <c r="C71" t="s">
        <v>42</v>
      </c>
      <c r="D71">
        <v>41466483811</v>
      </c>
      <c r="E71" s="1">
        <v>46216.567181909719</v>
      </c>
      <c r="F71">
        <v>98</v>
      </c>
      <c r="G71">
        <v>3</v>
      </c>
      <c r="H71" t="s">
        <v>81</v>
      </c>
      <c r="I71" t="s">
        <v>82</v>
      </c>
      <c r="J71" t="s">
        <v>6</v>
      </c>
      <c r="K71" t="s">
        <v>83</v>
      </c>
      <c r="L71" t="s">
        <v>26</v>
      </c>
      <c r="M71">
        <v>116900</v>
      </c>
      <c r="N71" t="s">
        <v>27</v>
      </c>
      <c r="O71">
        <v>1296136.6100000001</v>
      </c>
      <c r="P71" t="s">
        <v>84</v>
      </c>
      <c r="Q71" t="s">
        <v>8</v>
      </c>
      <c r="R71">
        <v>109278002</v>
      </c>
      <c r="S71">
        <v>109278002</v>
      </c>
      <c r="T71">
        <v>109278002</v>
      </c>
      <c r="U71" t="s">
        <v>85</v>
      </c>
      <c r="V71" t="s">
        <v>28</v>
      </c>
    </row>
    <row r="72" spans="1:22" x14ac:dyDescent="0.25">
      <c r="A72">
        <v>41469879563</v>
      </c>
      <c r="B72" t="s">
        <v>10</v>
      </c>
      <c r="C72" t="s">
        <v>42</v>
      </c>
      <c r="D72">
        <v>41469879563</v>
      </c>
      <c r="E72" s="1">
        <v>46218.678969502318</v>
      </c>
      <c r="F72">
        <v>115</v>
      </c>
      <c r="G72">
        <v>3</v>
      </c>
      <c r="H72" t="s">
        <v>4</v>
      </c>
      <c r="I72" t="s">
        <v>5</v>
      </c>
      <c r="J72" t="s">
        <v>6</v>
      </c>
      <c r="K72">
        <v>51971044</v>
      </c>
      <c r="L72">
        <v>406301</v>
      </c>
      <c r="M72">
        <v>19995</v>
      </c>
      <c r="N72" t="s">
        <v>7</v>
      </c>
      <c r="O72">
        <v>258045.42</v>
      </c>
      <c r="P72" t="s">
        <v>88</v>
      </c>
      <c r="Q72" t="s">
        <v>11</v>
      </c>
      <c r="R72">
        <v>92286806</v>
      </c>
      <c r="S72">
        <v>92286806</v>
      </c>
      <c r="T72">
        <v>92286806</v>
      </c>
      <c r="U72" t="s">
        <v>89</v>
      </c>
      <c r="V72" t="s">
        <v>90</v>
      </c>
    </row>
    <row r="73" spans="1:22" x14ac:dyDescent="0.25">
      <c r="A73">
        <v>41472245890</v>
      </c>
      <c r="B73" t="s">
        <v>10</v>
      </c>
      <c r="C73" t="s">
        <v>42</v>
      </c>
      <c r="D73">
        <v>41472245890</v>
      </c>
      <c r="E73" s="1">
        <v>46219.743692951386</v>
      </c>
      <c r="F73">
        <v>115</v>
      </c>
      <c r="G73">
        <v>3</v>
      </c>
      <c r="H73" t="s">
        <v>91</v>
      </c>
      <c r="I73" t="s">
        <v>5</v>
      </c>
      <c r="J73" t="s">
        <v>6</v>
      </c>
      <c r="K73">
        <v>10030747</v>
      </c>
      <c r="L73">
        <v>161923</v>
      </c>
      <c r="M73">
        <v>17000</v>
      </c>
      <c r="N73" t="s">
        <v>7</v>
      </c>
      <c r="O73">
        <v>219393.44</v>
      </c>
      <c r="P73" t="s">
        <v>92</v>
      </c>
      <c r="Q73" t="s">
        <v>8</v>
      </c>
      <c r="R73">
        <v>107560732</v>
      </c>
      <c r="S73">
        <v>107560732</v>
      </c>
      <c r="T73">
        <v>107560732</v>
      </c>
      <c r="U73" t="s">
        <v>93</v>
      </c>
      <c r="V73" t="s">
        <v>9</v>
      </c>
    </row>
    <row r="74" spans="1:22" x14ac:dyDescent="0.25">
      <c r="A74">
        <v>41473974572</v>
      </c>
      <c r="B74" t="s">
        <v>10</v>
      </c>
      <c r="C74" t="s">
        <v>42</v>
      </c>
      <c r="D74">
        <v>41473974572</v>
      </c>
      <c r="E74" s="1">
        <v>46220.77032113426</v>
      </c>
      <c r="F74">
        <v>115</v>
      </c>
      <c r="G74">
        <v>3</v>
      </c>
      <c r="H74" t="s">
        <v>4</v>
      </c>
      <c r="I74" t="s">
        <v>5</v>
      </c>
      <c r="J74" t="s">
        <v>6</v>
      </c>
      <c r="K74">
        <v>63246516</v>
      </c>
      <c r="L74">
        <v>608407</v>
      </c>
      <c r="M74">
        <v>90000</v>
      </c>
      <c r="N74" t="s">
        <v>7</v>
      </c>
      <c r="O74">
        <v>1161494.57</v>
      </c>
      <c r="P74" t="s">
        <v>94</v>
      </c>
      <c r="Q74" t="s">
        <v>8</v>
      </c>
      <c r="R74">
        <v>123075137</v>
      </c>
      <c r="S74">
        <v>123075137</v>
      </c>
      <c r="T74">
        <v>123075137</v>
      </c>
      <c r="U74" t="s">
        <v>95</v>
      </c>
      <c r="V74" t="s">
        <v>9</v>
      </c>
    </row>
    <row r="75" spans="1:22" x14ac:dyDescent="0.25">
      <c r="A75">
        <v>41473658022</v>
      </c>
      <c r="B75" t="s">
        <v>10</v>
      </c>
      <c r="C75" t="s">
        <v>42</v>
      </c>
      <c r="D75">
        <v>41473658022</v>
      </c>
      <c r="E75" s="1">
        <v>46220.647986539348</v>
      </c>
      <c r="F75">
        <v>115</v>
      </c>
      <c r="G75">
        <v>3</v>
      </c>
      <c r="H75" t="s">
        <v>4</v>
      </c>
      <c r="I75" t="s">
        <v>5</v>
      </c>
      <c r="J75" t="s">
        <v>6</v>
      </c>
      <c r="K75">
        <v>62629753</v>
      </c>
      <c r="L75">
        <v>608407</v>
      </c>
      <c r="M75">
        <v>10000</v>
      </c>
      <c r="N75" t="s">
        <v>7</v>
      </c>
      <c r="O75">
        <v>129054.96</v>
      </c>
      <c r="P75" t="s">
        <v>96</v>
      </c>
      <c r="Q75" t="s">
        <v>11</v>
      </c>
      <c r="R75">
        <v>118960145</v>
      </c>
      <c r="S75">
        <v>118960145</v>
      </c>
      <c r="T75">
        <v>118960145</v>
      </c>
      <c r="U75" t="s">
        <v>97</v>
      </c>
      <c r="V75" t="s">
        <v>9</v>
      </c>
    </row>
    <row r="76" spans="1:22" x14ac:dyDescent="0.25">
      <c r="A76">
        <v>41473704457</v>
      </c>
      <c r="B76" t="s">
        <v>10</v>
      </c>
      <c r="C76" t="s">
        <v>42</v>
      </c>
      <c r="D76">
        <v>41473704457</v>
      </c>
      <c r="E76" s="1">
        <v>46220.664305046295</v>
      </c>
      <c r="F76">
        <v>115</v>
      </c>
      <c r="G76">
        <v>3</v>
      </c>
      <c r="H76" t="s">
        <v>4</v>
      </c>
      <c r="I76" t="s">
        <v>5</v>
      </c>
      <c r="J76" t="s">
        <v>6</v>
      </c>
      <c r="K76">
        <v>26406586</v>
      </c>
      <c r="L76">
        <v>608456</v>
      </c>
      <c r="M76">
        <v>85000</v>
      </c>
      <c r="N76" t="s">
        <v>7</v>
      </c>
      <c r="O76">
        <v>1096967.19</v>
      </c>
      <c r="P76" t="s">
        <v>98</v>
      </c>
      <c r="Q76" t="s">
        <v>8</v>
      </c>
      <c r="R76">
        <v>96716188</v>
      </c>
      <c r="S76">
        <v>96716188</v>
      </c>
      <c r="T76">
        <v>96716188</v>
      </c>
      <c r="U76" t="s">
        <v>99</v>
      </c>
      <c r="V76" t="s">
        <v>9</v>
      </c>
    </row>
    <row r="77" spans="1:22" x14ac:dyDescent="0.25">
      <c r="A77">
        <v>41480028554</v>
      </c>
      <c r="B77" t="s">
        <v>10</v>
      </c>
      <c r="C77" t="s">
        <v>42</v>
      </c>
      <c r="D77">
        <v>41480028554</v>
      </c>
      <c r="E77" s="1">
        <v>46224.750596863429</v>
      </c>
      <c r="F77">
        <v>115</v>
      </c>
      <c r="G77">
        <v>3</v>
      </c>
      <c r="H77" t="s">
        <v>4</v>
      </c>
      <c r="I77" t="s">
        <v>5</v>
      </c>
      <c r="J77" t="s">
        <v>6</v>
      </c>
      <c r="K77">
        <v>58200138</v>
      </c>
      <c r="L77">
        <v>608407</v>
      </c>
      <c r="M77">
        <v>50000</v>
      </c>
      <c r="N77" t="s">
        <v>7</v>
      </c>
      <c r="O77">
        <v>649241.99</v>
      </c>
      <c r="P77" t="s">
        <v>100</v>
      </c>
      <c r="Q77" t="s">
        <v>8</v>
      </c>
      <c r="R77">
        <v>105353056</v>
      </c>
      <c r="S77">
        <v>105353056</v>
      </c>
      <c r="T77">
        <v>105353056</v>
      </c>
      <c r="U77" t="s">
        <v>101</v>
      </c>
      <c r="V77" t="s">
        <v>9</v>
      </c>
    </row>
    <row r="78" spans="1:22" x14ac:dyDescent="0.25">
      <c r="A78">
        <v>41479117936</v>
      </c>
      <c r="B78" t="s">
        <v>10</v>
      </c>
      <c r="C78" t="s">
        <v>42</v>
      </c>
      <c r="D78">
        <v>41479117936</v>
      </c>
      <c r="E78" s="1">
        <v>46224.434061215281</v>
      </c>
      <c r="F78">
        <v>115</v>
      </c>
      <c r="G78">
        <v>3</v>
      </c>
      <c r="H78" t="s">
        <v>102</v>
      </c>
      <c r="I78" t="s">
        <v>5</v>
      </c>
      <c r="J78" t="s">
        <v>6</v>
      </c>
      <c r="K78">
        <v>13228536</v>
      </c>
      <c r="L78">
        <v>89103</v>
      </c>
      <c r="M78">
        <v>20000</v>
      </c>
      <c r="N78" t="s">
        <v>7</v>
      </c>
      <c r="O78">
        <v>259696.78</v>
      </c>
      <c r="P78" t="s">
        <v>103</v>
      </c>
      <c r="Q78" t="s">
        <v>11</v>
      </c>
      <c r="R78">
        <v>115108789</v>
      </c>
      <c r="S78">
        <v>115108789</v>
      </c>
      <c r="T78">
        <v>115108789</v>
      </c>
      <c r="U78" t="s">
        <v>104</v>
      </c>
      <c r="V78" t="s">
        <v>105</v>
      </c>
    </row>
    <row r="79" spans="1:22" x14ac:dyDescent="0.25">
      <c r="A79">
        <v>41483437207</v>
      </c>
      <c r="B79" t="s">
        <v>10</v>
      </c>
      <c r="C79" t="s">
        <v>42</v>
      </c>
      <c r="D79">
        <v>41483437207</v>
      </c>
      <c r="E79" s="1">
        <v>46226.782014652781</v>
      </c>
      <c r="F79">
        <v>115</v>
      </c>
      <c r="G79">
        <v>3</v>
      </c>
      <c r="H79" t="s">
        <v>4</v>
      </c>
      <c r="I79" t="s">
        <v>5</v>
      </c>
      <c r="J79" t="s">
        <v>6</v>
      </c>
      <c r="K79">
        <v>54088624</v>
      </c>
      <c r="L79">
        <v>90643</v>
      </c>
      <c r="M79">
        <v>75000</v>
      </c>
      <c r="N79" t="s">
        <v>7</v>
      </c>
      <c r="O79">
        <v>973862.99</v>
      </c>
      <c r="P79" t="s">
        <v>281</v>
      </c>
      <c r="Q79" t="s">
        <v>8</v>
      </c>
      <c r="R79">
        <v>108965344</v>
      </c>
      <c r="S79">
        <v>108965344</v>
      </c>
      <c r="T79">
        <v>108965344</v>
      </c>
      <c r="U79" t="s">
        <v>282</v>
      </c>
      <c r="V79" t="s">
        <v>9</v>
      </c>
    </row>
    <row r="80" spans="1:22" x14ac:dyDescent="0.25">
      <c r="A80">
        <v>41483244960</v>
      </c>
      <c r="B80" t="s">
        <v>106</v>
      </c>
      <c r="C80" t="s">
        <v>42</v>
      </c>
      <c r="D80">
        <v>41483244960</v>
      </c>
      <c r="E80" s="1">
        <v>46226.727365856481</v>
      </c>
      <c r="F80">
        <v>115</v>
      </c>
      <c r="G80">
        <v>3</v>
      </c>
      <c r="H80" t="s">
        <v>4</v>
      </c>
      <c r="I80" t="s">
        <v>5</v>
      </c>
      <c r="J80" t="s">
        <v>6</v>
      </c>
      <c r="K80">
        <v>17554591</v>
      </c>
      <c r="L80">
        <v>40339</v>
      </c>
      <c r="M80">
        <v>50000</v>
      </c>
      <c r="N80" t="s">
        <v>7</v>
      </c>
      <c r="O80">
        <v>649241.99</v>
      </c>
      <c r="P80" t="s">
        <v>107</v>
      </c>
      <c r="Q80" t="s">
        <v>8</v>
      </c>
      <c r="R80">
        <v>105870745</v>
      </c>
      <c r="S80">
        <v>105870745</v>
      </c>
      <c r="T80">
        <v>105870745</v>
      </c>
      <c r="U80" t="s">
        <v>108</v>
      </c>
      <c r="V80" t="s">
        <v>9</v>
      </c>
    </row>
    <row r="81" spans="1:22" x14ac:dyDescent="0.25">
      <c r="A81">
        <v>41483063386</v>
      </c>
      <c r="B81" t="s">
        <v>2</v>
      </c>
      <c r="C81" t="s">
        <v>42</v>
      </c>
      <c r="D81">
        <v>41483063386</v>
      </c>
      <c r="E81" s="1">
        <v>46226.662101180555</v>
      </c>
      <c r="F81">
        <v>115</v>
      </c>
      <c r="G81">
        <v>3</v>
      </c>
      <c r="H81" t="s">
        <v>4</v>
      </c>
      <c r="I81" t="s">
        <v>5</v>
      </c>
      <c r="J81" t="s">
        <v>6</v>
      </c>
      <c r="K81">
        <v>83372888</v>
      </c>
      <c r="L81">
        <v>608407</v>
      </c>
      <c r="M81">
        <v>80000</v>
      </c>
      <c r="N81" t="s">
        <v>7</v>
      </c>
      <c r="O81">
        <v>1038787.21</v>
      </c>
      <c r="P81" t="s">
        <v>38</v>
      </c>
      <c r="Q81" t="s">
        <v>8</v>
      </c>
      <c r="R81">
        <v>122720485</v>
      </c>
      <c r="S81">
        <v>122720485</v>
      </c>
      <c r="T81">
        <v>122720485</v>
      </c>
      <c r="U81" t="s">
        <v>39</v>
      </c>
      <c r="V81" t="s">
        <v>9</v>
      </c>
    </row>
    <row r="82" spans="1:22" x14ac:dyDescent="0.25">
      <c r="A82">
        <v>41486224304</v>
      </c>
      <c r="B82" t="s">
        <v>2</v>
      </c>
      <c r="C82" t="s">
        <v>42</v>
      </c>
      <c r="D82">
        <v>41486224304</v>
      </c>
      <c r="E82" s="1">
        <v>46227.857881863427</v>
      </c>
      <c r="F82">
        <v>115</v>
      </c>
      <c r="G82">
        <v>3</v>
      </c>
      <c r="H82" t="s">
        <v>4</v>
      </c>
      <c r="I82" t="s">
        <v>5</v>
      </c>
      <c r="J82" t="s">
        <v>6</v>
      </c>
      <c r="K82">
        <v>26180505</v>
      </c>
      <c r="L82">
        <v>608407</v>
      </c>
      <c r="M82">
        <v>100000</v>
      </c>
      <c r="N82" t="s">
        <v>7</v>
      </c>
      <c r="O82">
        <v>1298483.98</v>
      </c>
      <c r="P82" t="s">
        <v>265</v>
      </c>
      <c r="Q82" t="s">
        <v>8</v>
      </c>
      <c r="R82">
        <v>126118058</v>
      </c>
      <c r="S82">
        <v>126118058</v>
      </c>
      <c r="T82">
        <v>126118058</v>
      </c>
      <c r="U82" t="s">
        <v>264</v>
      </c>
      <c r="V82" t="s">
        <v>15</v>
      </c>
    </row>
    <row r="83" spans="1:22" x14ac:dyDescent="0.25">
      <c r="A83">
        <v>41486216916</v>
      </c>
      <c r="B83" t="s">
        <v>2</v>
      </c>
      <c r="C83" t="s">
        <v>42</v>
      </c>
      <c r="D83">
        <v>41486216916</v>
      </c>
      <c r="E83" s="1">
        <v>46227.854579432867</v>
      </c>
      <c r="F83">
        <v>115</v>
      </c>
      <c r="G83">
        <v>3</v>
      </c>
      <c r="H83" t="s">
        <v>4</v>
      </c>
      <c r="I83" t="s">
        <v>5</v>
      </c>
      <c r="J83" t="s">
        <v>6</v>
      </c>
      <c r="K83">
        <v>26180505</v>
      </c>
      <c r="L83">
        <v>608407</v>
      </c>
      <c r="M83">
        <v>100000</v>
      </c>
      <c r="N83" t="s">
        <v>7</v>
      </c>
      <c r="O83">
        <v>1298483.98</v>
      </c>
      <c r="P83" t="s">
        <v>216</v>
      </c>
      <c r="Q83" t="s">
        <v>8</v>
      </c>
      <c r="R83">
        <v>126118058</v>
      </c>
      <c r="S83">
        <v>126118058</v>
      </c>
      <c r="T83">
        <v>126118058</v>
      </c>
      <c r="U83" t="s">
        <v>264</v>
      </c>
      <c r="V83" t="s">
        <v>15</v>
      </c>
    </row>
    <row r="84" spans="1:22" x14ac:dyDescent="0.25">
      <c r="A84">
        <v>41486213067</v>
      </c>
      <c r="B84" t="s">
        <v>2</v>
      </c>
      <c r="C84" t="s">
        <v>42</v>
      </c>
      <c r="D84">
        <v>41486213067</v>
      </c>
      <c r="E84" s="1">
        <v>46227.852821099536</v>
      </c>
      <c r="F84">
        <v>115</v>
      </c>
      <c r="G84">
        <v>3</v>
      </c>
      <c r="H84" t="s">
        <v>4</v>
      </c>
      <c r="I84" t="s">
        <v>5</v>
      </c>
      <c r="J84" t="s">
        <v>6</v>
      </c>
      <c r="K84">
        <v>26180505</v>
      </c>
      <c r="L84">
        <v>608407</v>
      </c>
      <c r="M84">
        <v>100000</v>
      </c>
      <c r="N84" t="s">
        <v>7</v>
      </c>
      <c r="O84">
        <v>1298483.98</v>
      </c>
      <c r="P84" t="s">
        <v>216</v>
      </c>
      <c r="Q84" t="s">
        <v>8</v>
      </c>
      <c r="R84">
        <v>126118058</v>
      </c>
      <c r="S84">
        <v>126118058</v>
      </c>
      <c r="T84">
        <v>126118058</v>
      </c>
      <c r="U84" t="s">
        <v>264</v>
      </c>
      <c r="V84" t="s">
        <v>15</v>
      </c>
    </row>
    <row r="85" spans="1:22" x14ac:dyDescent="0.25">
      <c r="A85">
        <v>41486220957</v>
      </c>
      <c r="B85" t="s">
        <v>2</v>
      </c>
      <c r="C85" t="s">
        <v>42</v>
      </c>
      <c r="D85">
        <v>41486220957</v>
      </c>
      <c r="E85" s="1">
        <v>46227.856335497687</v>
      </c>
      <c r="F85">
        <v>115</v>
      </c>
      <c r="G85">
        <v>3</v>
      </c>
      <c r="H85" t="s">
        <v>4</v>
      </c>
      <c r="I85" t="s">
        <v>5</v>
      </c>
      <c r="J85" t="s">
        <v>6</v>
      </c>
      <c r="K85">
        <v>26180505</v>
      </c>
      <c r="L85">
        <v>608407</v>
      </c>
      <c r="M85">
        <v>100000</v>
      </c>
      <c r="N85" t="s">
        <v>7</v>
      </c>
      <c r="O85">
        <v>1298483.98</v>
      </c>
      <c r="P85" t="s">
        <v>265</v>
      </c>
      <c r="Q85" t="s">
        <v>8</v>
      </c>
      <c r="R85">
        <v>126118058</v>
      </c>
      <c r="S85">
        <v>126118058</v>
      </c>
      <c r="T85">
        <v>126118058</v>
      </c>
      <c r="U85" t="s">
        <v>264</v>
      </c>
      <c r="V85" t="s">
        <v>15</v>
      </c>
    </row>
    <row r="86" spans="1:22" x14ac:dyDescent="0.25">
      <c r="A86">
        <v>41485012879</v>
      </c>
      <c r="B86" t="s">
        <v>10</v>
      </c>
      <c r="C86" t="s">
        <v>42</v>
      </c>
      <c r="D86">
        <v>41485012879</v>
      </c>
      <c r="E86" s="1">
        <v>46227.512197685188</v>
      </c>
      <c r="F86">
        <v>115</v>
      </c>
      <c r="G86">
        <v>3</v>
      </c>
      <c r="H86" t="s">
        <v>4</v>
      </c>
      <c r="I86" t="s">
        <v>5</v>
      </c>
      <c r="J86" t="s">
        <v>6</v>
      </c>
      <c r="K86">
        <v>71561241</v>
      </c>
      <c r="L86">
        <v>608407</v>
      </c>
      <c r="M86">
        <v>10000</v>
      </c>
      <c r="N86" t="s">
        <v>7</v>
      </c>
      <c r="O86">
        <v>129848.44</v>
      </c>
      <c r="P86" t="s">
        <v>283</v>
      </c>
      <c r="Q86" t="s">
        <v>11</v>
      </c>
      <c r="R86">
        <v>126877208</v>
      </c>
      <c r="S86">
        <v>126877208</v>
      </c>
      <c r="T86">
        <v>126877208</v>
      </c>
      <c r="U86" t="s">
        <v>284</v>
      </c>
      <c r="V86" t="s">
        <v>15</v>
      </c>
    </row>
    <row r="87" spans="1:22" x14ac:dyDescent="0.25">
      <c r="A87">
        <v>41484393904</v>
      </c>
      <c r="B87" t="s">
        <v>10</v>
      </c>
      <c r="C87" t="s">
        <v>42</v>
      </c>
      <c r="D87">
        <v>41484393904</v>
      </c>
      <c r="E87" s="1">
        <v>46227.383739363424</v>
      </c>
      <c r="F87">
        <v>115</v>
      </c>
      <c r="G87">
        <v>3</v>
      </c>
      <c r="H87" t="s">
        <v>4</v>
      </c>
      <c r="I87" t="s">
        <v>5</v>
      </c>
      <c r="J87" t="s">
        <v>6</v>
      </c>
      <c r="K87">
        <v>71561241</v>
      </c>
      <c r="L87">
        <v>608407</v>
      </c>
      <c r="M87">
        <v>10000</v>
      </c>
      <c r="N87" t="s">
        <v>7</v>
      </c>
      <c r="O87">
        <v>129848.44</v>
      </c>
      <c r="P87" t="s">
        <v>283</v>
      </c>
      <c r="Q87" t="s">
        <v>11</v>
      </c>
      <c r="R87">
        <v>126877208</v>
      </c>
      <c r="S87">
        <v>126877208</v>
      </c>
      <c r="T87">
        <v>126877208</v>
      </c>
      <c r="U87" t="s">
        <v>284</v>
      </c>
      <c r="V87" t="s">
        <v>15</v>
      </c>
    </row>
    <row r="88" spans="1:22" x14ac:dyDescent="0.25">
      <c r="A88">
        <v>41491748052</v>
      </c>
      <c r="B88" t="s">
        <v>10</v>
      </c>
      <c r="C88" t="s">
        <v>42</v>
      </c>
      <c r="D88">
        <v>41491748052</v>
      </c>
      <c r="E88" s="1">
        <v>46230.86792837963</v>
      </c>
      <c r="F88">
        <v>115</v>
      </c>
      <c r="G88">
        <v>3</v>
      </c>
      <c r="H88" t="s">
        <v>4</v>
      </c>
      <c r="I88" t="s">
        <v>5</v>
      </c>
      <c r="J88" t="s">
        <v>6</v>
      </c>
      <c r="K88">
        <v>28050318</v>
      </c>
      <c r="L88">
        <v>230163</v>
      </c>
      <c r="M88">
        <v>11000</v>
      </c>
      <c r="N88" t="s">
        <v>7</v>
      </c>
      <c r="O88">
        <v>142833.28</v>
      </c>
      <c r="P88" t="s">
        <v>270</v>
      </c>
      <c r="Q88" t="s">
        <v>11</v>
      </c>
      <c r="R88">
        <v>123896391</v>
      </c>
      <c r="S88">
        <v>123896391</v>
      </c>
      <c r="T88">
        <v>123896391</v>
      </c>
      <c r="U88" t="s">
        <v>46</v>
      </c>
      <c r="V88" t="s">
        <v>9</v>
      </c>
    </row>
    <row r="89" spans="1:22" x14ac:dyDescent="0.25">
      <c r="A89">
        <v>41493575842</v>
      </c>
      <c r="B89" t="s">
        <v>10</v>
      </c>
      <c r="C89" t="s">
        <v>42</v>
      </c>
      <c r="D89">
        <v>41493575842</v>
      </c>
      <c r="E89" s="1">
        <v>46231.883915451392</v>
      </c>
      <c r="F89">
        <v>115</v>
      </c>
      <c r="G89">
        <v>3</v>
      </c>
      <c r="H89" t="s">
        <v>4</v>
      </c>
      <c r="I89" t="s">
        <v>5</v>
      </c>
      <c r="J89" t="s">
        <v>6</v>
      </c>
      <c r="K89">
        <v>13117510</v>
      </c>
      <c r="L89">
        <v>608407</v>
      </c>
      <c r="M89">
        <v>100000</v>
      </c>
      <c r="N89" t="s">
        <v>7</v>
      </c>
      <c r="O89">
        <v>1298483.98</v>
      </c>
      <c r="P89" t="s">
        <v>268</v>
      </c>
      <c r="Q89" t="s">
        <v>8</v>
      </c>
      <c r="R89">
        <v>119625572</v>
      </c>
      <c r="S89">
        <v>119625572</v>
      </c>
      <c r="T89">
        <v>119625572</v>
      </c>
      <c r="U89" t="s">
        <v>269</v>
      </c>
      <c r="V89" t="s">
        <v>9</v>
      </c>
    </row>
    <row r="90" spans="1:22" x14ac:dyDescent="0.25">
      <c r="A90">
        <v>41492875280</v>
      </c>
      <c r="B90" t="s">
        <v>10</v>
      </c>
      <c r="C90" t="s">
        <v>42</v>
      </c>
      <c r="D90">
        <v>41492875280</v>
      </c>
      <c r="E90" s="1">
        <v>46231.613631250002</v>
      </c>
      <c r="F90">
        <v>115</v>
      </c>
      <c r="G90">
        <v>3</v>
      </c>
      <c r="H90" t="s">
        <v>4</v>
      </c>
      <c r="I90" t="s">
        <v>5</v>
      </c>
      <c r="J90" t="s">
        <v>6</v>
      </c>
      <c r="K90">
        <v>93115724</v>
      </c>
      <c r="L90">
        <v>609204</v>
      </c>
      <c r="M90">
        <v>80000</v>
      </c>
      <c r="N90" t="s">
        <v>7</v>
      </c>
      <c r="O90">
        <v>1038787.21</v>
      </c>
      <c r="P90" t="s">
        <v>285</v>
      </c>
      <c r="Q90" t="s">
        <v>8</v>
      </c>
      <c r="R90">
        <v>140114752</v>
      </c>
      <c r="S90">
        <v>140114752</v>
      </c>
      <c r="T90">
        <v>140114752</v>
      </c>
      <c r="U90" t="s">
        <v>286</v>
      </c>
      <c r="V90" t="s">
        <v>9</v>
      </c>
    </row>
    <row r="91" spans="1:22" x14ac:dyDescent="0.25">
      <c r="A91">
        <v>41492198980</v>
      </c>
      <c r="B91" t="s">
        <v>10</v>
      </c>
      <c r="C91" t="s">
        <v>42</v>
      </c>
      <c r="D91">
        <v>41492198980</v>
      </c>
      <c r="E91" s="1">
        <v>46231.38441121528</v>
      </c>
      <c r="F91">
        <v>115</v>
      </c>
      <c r="G91">
        <v>3</v>
      </c>
      <c r="H91" t="s">
        <v>4</v>
      </c>
      <c r="I91" t="s">
        <v>5</v>
      </c>
      <c r="J91" t="s">
        <v>6</v>
      </c>
      <c r="K91">
        <v>61021382</v>
      </c>
      <c r="L91">
        <v>406437</v>
      </c>
      <c r="M91">
        <v>20000</v>
      </c>
      <c r="N91" t="s">
        <v>7</v>
      </c>
      <c r="O91">
        <v>259696.78</v>
      </c>
      <c r="P91" t="s">
        <v>287</v>
      </c>
      <c r="Q91" t="s">
        <v>11</v>
      </c>
      <c r="R91">
        <v>113115232</v>
      </c>
      <c r="S91">
        <v>113115232</v>
      </c>
      <c r="T91">
        <v>113115232</v>
      </c>
      <c r="U91" t="s">
        <v>288</v>
      </c>
      <c r="V91" t="s">
        <v>289</v>
      </c>
    </row>
    <row r="92" spans="1:22" x14ac:dyDescent="0.25">
      <c r="A92">
        <v>41494751270</v>
      </c>
      <c r="B92" t="s">
        <v>10</v>
      </c>
      <c r="C92" t="s">
        <v>42</v>
      </c>
      <c r="D92">
        <v>41494751270</v>
      </c>
      <c r="E92" s="1">
        <v>46232.584292164349</v>
      </c>
      <c r="F92">
        <v>115</v>
      </c>
      <c r="G92">
        <v>3</v>
      </c>
      <c r="H92" t="s">
        <v>4</v>
      </c>
      <c r="I92" t="s">
        <v>5</v>
      </c>
      <c r="J92" t="s">
        <v>6</v>
      </c>
      <c r="K92">
        <v>89260625</v>
      </c>
      <c r="L92">
        <v>230120</v>
      </c>
      <c r="M92">
        <v>75000</v>
      </c>
      <c r="N92" t="s">
        <v>7</v>
      </c>
      <c r="O92">
        <v>973862.99</v>
      </c>
      <c r="P92" t="s">
        <v>270</v>
      </c>
      <c r="Q92" t="s">
        <v>8</v>
      </c>
      <c r="R92">
        <v>110818184</v>
      </c>
      <c r="S92">
        <v>110818184</v>
      </c>
      <c r="T92">
        <v>110818184</v>
      </c>
      <c r="U92" t="s">
        <v>271</v>
      </c>
      <c r="V92" t="s">
        <v>15</v>
      </c>
    </row>
    <row r="93" spans="1:22" x14ac:dyDescent="0.25">
      <c r="A93">
        <v>41494665667</v>
      </c>
      <c r="B93" t="s">
        <v>10</v>
      </c>
      <c r="C93" t="s">
        <v>42</v>
      </c>
      <c r="D93">
        <v>41494665667</v>
      </c>
      <c r="E93" s="1">
        <v>46232.553681828707</v>
      </c>
      <c r="F93">
        <v>115</v>
      </c>
      <c r="G93">
        <v>3</v>
      </c>
      <c r="H93" t="s">
        <v>4</v>
      </c>
      <c r="I93" t="s">
        <v>5</v>
      </c>
      <c r="J93" t="s">
        <v>6</v>
      </c>
      <c r="K93">
        <v>12808787</v>
      </c>
      <c r="L93">
        <v>406437</v>
      </c>
      <c r="M93">
        <v>15000</v>
      </c>
      <c r="N93" t="s">
        <v>7</v>
      </c>
      <c r="O93">
        <v>194772.56</v>
      </c>
      <c r="P93" t="s">
        <v>290</v>
      </c>
      <c r="Q93" t="s">
        <v>11</v>
      </c>
      <c r="R93">
        <v>117384925</v>
      </c>
      <c r="S93">
        <v>117384925</v>
      </c>
      <c r="T93">
        <v>117384925</v>
      </c>
      <c r="U93" t="s">
        <v>291</v>
      </c>
      <c r="V93" t="s">
        <v>292</v>
      </c>
    </row>
    <row r="94" spans="1:22" x14ac:dyDescent="0.25">
      <c r="A94">
        <v>41494217700</v>
      </c>
      <c r="B94" t="s">
        <v>10</v>
      </c>
      <c r="C94" t="s">
        <v>42</v>
      </c>
      <c r="D94">
        <v>41494217700</v>
      </c>
      <c r="E94" s="1">
        <v>46232.388965416663</v>
      </c>
      <c r="F94">
        <v>115</v>
      </c>
      <c r="G94">
        <v>3</v>
      </c>
      <c r="H94" t="s">
        <v>4</v>
      </c>
      <c r="I94" t="s">
        <v>5</v>
      </c>
      <c r="J94" t="s">
        <v>6</v>
      </c>
      <c r="K94">
        <v>89260625</v>
      </c>
      <c r="L94">
        <v>230120</v>
      </c>
      <c r="M94">
        <v>75000</v>
      </c>
      <c r="N94" t="s">
        <v>7</v>
      </c>
      <c r="O94">
        <v>973862.99</v>
      </c>
      <c r="P94" t="s">
        <v>270</v>
      </c>
      <c r="Q94" t="s">
        <v>8</v>
      </c>
      <c r="R94">
        <v>110818184</v>
      </c>
      <c r="S94">
        <v>110818184</v>
      </c>
      <c r="T94">
        <v>110818184</v>
      </c>
      <c r="U94" t="s">
        <v>271</v>
      </c>
      <c r="V94" t="s">
        <v>15</v>
      </c>
    </row>
    <row r="95" spans="1:22" x14ac:dyDescent="0.25">
      <c r="A95">
        <v>41495789445</v>
      </c>
      <c r="B95" t="s">
        <v>10</v>
      </c>
      <c r="C95" t="s">
        <v>42</v>
      </c>
      <c r="D95">
        <v>41495789445</v>
      </c>
      <c r="E95" s="1">
        <v>46233.337318483798</v>
      </c>
      <c r="F95">
        <v>115</v>
      </c>
      <c r="G95">
        <v>3</v>
      </c>
      <c r="H95" t="s">
        <v>4</v>
      </c>
      <c r="I95" t="s">
        <v>5</v>
      </c>
      <c r="J95" t="s">
        <v>6</v>
      </c>
      <c r="K95">
        <v>49067234</v>
      </c>
      <c r="L95">
        <v>608407</v>
      </c>
      <c r="M95">
        <v>20000</v>
      </c>
      <c r="N95" t="s">
        <v>7</v>
      </c>
      <c r="O95">
        <v>259696.78</v>
      </c>
      <c r="P95" t="s">
        <v>293</v>
      </c>
      <c r="Q95" t="s">
        <v>11</v>
      </c>
      <c r="R95">
        <v>117896027</v>
      </c>
      <c r="S95">
        <v>117896027</v>
      </c>
      <c r="T95">
        <v>117896027</v>
      </c>
      <c r="U95" t="s">
        <v>294</v>
      </c>
      <c r="V95" t="s">
        <v>15</v>
      </c>
    </row>
    <row r="96" spans="1:22" x14ac:dyDescent="0.25">
      <c r="A96">
        <v>41495811253</v>
      </c>
      <c r="B96" t="s">
        <v>2</v>
      </c>
      <c r="C96" t="s">
        <v>42</v>
      </c>
      <c r="D96">
        <v>41495811253</v>
      </c>
      <c r="E96" s="1">
        <v>46233.348708923608</v>
      </c>
      <c r="F96">
        <v>115</v>
      </c>
      <c r="G96">
        <v>3</v>
      </c>
      <c r="H96" t="s">
        <v>4</v>
      </c>
      <c r="I96" t="s">
        <v>5</v>
      </c>
      <c r="J96" t="s">
        <v>6</v>
      </c>
      <c r="K96">
        <v>12808787</v>
      </c>
      <c r="L96">
        <v>406437</v>
      </c>
      <c r="M96">
        <v>13590</v>
      </c>
      <c r="N96" t="s">
        <v>7</v>
      </c>
      <c r="O96">
        <v>176463.93</v>
      </c>
      <c r="P96" t="s">
        <v>290</v>
      </c>
      <c r="Q96" t="s">
        <v>11</v>
      </c>
      <c r="R96">
        <v>117384925</v>
      </c>
      <c r="S96">
        <v>117384925</v>
      </c>
      <c r="T96">
        <v>117384925</v>
      </c>
      <c r="U96" t="s">
        <v>291</v>
      </c>
      <c r="V96" t="s">
        <v>292</v>
      </c>
    </row>
    <row r="97" spans="1:22" x14ac:dyDescent="0.25">
      <c r="A97">
        <v>41498866040</v>
      </c>
      <c r="B97" t="s">
        <v>10</v>
      </c>
      <c r="C97" t="s">
        <v>42</v>
      </c>
      <c r="D97">
        <v>41498866040</v>
      </c>
      <c r="E97" s="1">
        <v>46234.919915185186</v>
      </c>
      <c r="F97">
        <v>115</v>
      </c>
      <c r="G97">
        <v>3</v>
      </c>
      <c r="H97" t="s">
        <v>295</v>
      </c>
      <c r="I97" t="s">
        <v>5</v>
      </c>
      <c r="J97" t="s">
        <v>6</v>
      </c>
      <c r="K97">
        <v>47989254</v>
      </c>
      <c r="L97">
        <v>560069</v>
      </c>
      <c r="M97">
        <v>20000</v>
      </c>
      <c r="N97" t="s">
        <v>7</v>
      </c>
      <c r="O97">
        <v>259696.78</v>
      </c>
      <c r="P97" t="s">
        <v>296</v>
      </c>
      <c r="Q97" t="s">
        <v>8</v>
      </c>
      <c r="R97">
        <v>141854935</v>
      </c>
      <c r="S97">
        <v>141854935</v>
      </c>
      <c r="T97">
        <v>141854935</v>
      </c>
      <c r="U97" t="s">
        <v>297</v>
      </c>
      <c r="V97" t="s">
        <v>15</v>
      </c>
    </row>
    <row r="98" spans="1:22" x14ac:dyDescent="0.25">
      <c r="A98">
        <v>41497898755</v>
      </c>
      <c r="B98" t="s">
        <v>10</v>
      </c>
      <c r="C98" t="s">
        <v>42</v>
      </c>
      <c r="D98">
        <v>41497898755</v>
      </c>
      <c r="E98" s="1">
        <v>46234.530173530089</v>
      </c>
      <c r="F98">
        <v>115</v>
      </c>
      <c r="G98">
        <v>3</v>
      </c>
      <c r="H98" t="s">
        <v>4</v>
      </c>
      <c r="I98" t="s">
        <v>5</v>
      </c>
      <c r="J98" t="s">
        <v>6</v>
      </c>
      <c r="K98">
        <v>50871486</v>
      </c>
      <c r="L98">
        <v>202990</v>
      </c>
      <c r="M98">
        <v>20000</v>
      </c>
      <c r="N98" t="s">
        <v>7</v>
      </c>
      <c r="O98">
        <v>259696.78</v>
      </c>
      <c r="P98" t="s">
        <v>298</v>
      </c>
      <c r="Q98" t="s">
        <v>11</v>
      </c>
      <c r="R98">
        <v>106021520</v>
      </c>
      <c r="S98">
        <v>106021520</v>
      </c>
      <c r="T98">
        <v>106021520</v>
      </c>
      <c r="U98" t="s">
        <v>299</v>
      </c>
      <c r="V98" t="s">
        <v>9</v>
      </c>
    </row>
    <row r="99" spans="1:22" x14ac:dyDescent="0.25">
      <c r="A99">
        <v>41499878714</v>
      </c>
      <c r="B99" t="s">
        <v>10</v>
      </c>
      <c r="C99" t="s">
        <v>42</v>
      </c>
      <c r="D99">
        <v>41499878714</v>
      </c>
      <c r="E99" s="1">
        <v>46235.681359004629</v>
      </c>
      <c r="F99">
        <v>115</v>
      </c>
      <c r="G99">
        <v>3</v>
      </c>
      <c r="H99" t="s">
        <v>4</v>
      </c>
      <c r="I99" t="s">
        <v>5</v>
      </c>
      <c r="J99" t="s">
        <v>6</v>
      </c>
      <c r="K99">
        <v>10475655</v>
      </c>
      <c r="L99">
        <v>40831</v>
      </c>
      <c r="M99">
        <v>50000</v>
      </c>
      <c r="N99" t="s">
        <v>7</v>
      </c>
      <c r="O99">
        <v>649241.99</v>
      </c>
      <c r="P99" t="s">
        <v>300</v>
      </c>
      <c r="Q99" t="s">
        <v>8</v>
      </c>
      <c r="R99">
        <v>105779995</v>
      </c>
      <c r="S99">
        <v>105779995</v>
      </c>
      <c r="T99">
        <v>105779995</v>
      </c>
      <c r="U99" t="s">
        <v>301</v>
      </c>
      <c r="V99" t="s">
        <v>9</v>
      </c>
    </row>
    <row r="100" spans="1:22" x14ac:dyDescent="0.25">
      <c r="A100">
        <v>41499919515</v>
      </c>
      <c r="B100" t="s">
        <v>2</v>
      </c>
      <c r="C100" t="s">
        <v>42</v>
      </c>
      <c r="D100">
        <v>41499919515</v>
      </c>
      <c r="E100" s="1">
        <v>46235.700332476852</v>
      </c>
      <c r="F100">
        <v>115</v>
      </c>
      <c r="G100">
        <v>3</v>
      </c>
      <c r="H100" t="s">
        <v>4</v>
      </c>
      <c r="I100" t="s">
        <v>5</v>
      </c>
      <c r="J100" t="s">
        <v>6</v>
      </c>
      <c r="K100">
        <v>38307720</v>
      </c>
      <c r="L100">
        <v>90130</v>
      </c>
      <c r="M100">
        <v>40240.32</v>
      </c>
      <c r="N100" t="s">
        <v>7</v>
      </c>
      <c r="O100">
        <v>522514.15</v>
      </c>
      <c r="P100" t="s">
        <v>302</v>
      </c>
      <c r="Q100" t="s">
        <v>8</v>
      </c>
      <c r="R100">
        <v>119007375</v>
      </c>
      <c r="S100">
        <v>119007375</v>
      </c>
      <c r="T100">
        <v>119007375</v>
      </c>
      <c r="U100" t="s">
        <v>303</v>
      </c>
      <c r="V100" t="s">
        <v>15</v>
      </c>
    </row>
    <row r="101" spans="1:22" x14ac:dyDescent="0.25">
      <c r="A101">
        <v>41499444439</v>
      </c>
      <c r="B101" t="s">
        <v>10</v>
      </c>
      <c r="C101" t="s">
        <v>42</v>
      </c>
      <c r="D101">
        <v>41499444439</v>
      </c>
      <c r="E101" s="1">
        <v>46235.523600115739</v>
      </c>
      <c r="F101">
        <v>115</v>
      </c>
      <c r="G101">
        <v>3</v>
      </c>
      <c r="H101" t="s">
        <v>4</v>
      </c>
      <c r="I101" t="s">
        <v>5</v>
      </c>
      <c r="J101" t="s">
        <v>6</v>
      </c>
      <c r="K101">
        <v>80762083</v>
      </c>
      <c r="L101">
        <v>205961</v>
      </c>
      <c r="M101">
        <v>15000</v>
      </c>
      <c r="N101" t="s">
        <v>7</v>
      </c>
      <c r="O101">
        <v>194772.56</v>
      </c>
      <c r="P101" t="s">
        <v>304</v>
      </c>
      <c r="Q101" t="s">
        <v>11</v>
      </c>
      <c r="R101">
        <v>122744105</v>
      </c>
      <c r="S101">
        <v>122744105</v>
      </c>
      <c r="T101">
        <v>122744105</v>
      </c>
      <c r="U101" t="s">
        <v>305</v>
      </c>
      <c r="V101" t="s">
        <v>9</v>
      </c>
    </row>
    <row r="102" spans="1:22" x14ac:dyDescent="0.25">
      <c r="A102">
        <v>41504312903</v>
      </c>
      <c r="B102" t="s">
        <v>10</v>
      </c>
      <c r="C102" t="s">
        <v>42</v>
      </c>
      <c r="D102">
        <v>41504312903</v>
      </c>
      <c r="E102" s="1">
        <v>46238.66738741898</v>
      </c>
      <c r="F102">
        <v>115</v>
      </c>
      <c r="G102">
        <v>3</v>
      </c>
      <c r="H102" t="s">
        <v>110</v>
      </c>
      <c r="I102" t="s">
        <v>5</v>
      </c>
      <c r="J102" t="s">
        <v>6</v>
      </c>
      <c r="K102">
        <v>37424349</v>
      </c>
      <c r="L102">
        <v>86064</v>
      </c>
      <c r="M102">
        <v>19800</v>
      </c>
      <c r="N102" t="s">
        <v>7</v>
      </c>
      <c r="O102">
        <v>257099.81</v>
      </c>
      <c r="P102" t="s">
        <v>306</v>
      </c>
      <c r="Q102" t="s">
        <v>11</v>
      </c>
      <c r="R102">
        <v>121835144</v>
      </c>
      <c r="S102">
        <v>121835144</v>
      </c>
      <c r="T102">
        <v>121835144</v>
      </c>
      <c r="U102" t="s">
        <v>307</v>
      </c>
      <c r="V102" t="s">
        <v>9</v>
      </c>
    </row>
    <row r="103" spans="1:22" x14ac:dyDescent="0.25">
      <c r="A103">
        <v>41504240618</v>
      </c>
      <c r="B103" t="s">
        <v>10</v>
      </c>
      <c r="C103" t="s">
        <v>42</v>
      </c>
      <c r="D103">
        <v>41504240618</v>
      </c>
      <c r="E103" s="1">
        <v>46238.64076490741</v>
      </c>
      <c r="F103">
        <v>115</v>
      </c>
      <c r="G103">
        <v>3</v>
      </c>
      <c r="H103" t="s">
        <v>49</v>
      </c>
      <c r="I103" t="s">
        <v>5</v>
      </c>
      <c r="J103" t="s">
        <v>6</v>
      </c>
      <c r="K103">
        <v>43082167</v>
      </c>
      <c r="L103">
        <v>230580</v>
      </c>
      <c r="M103">
        <v>100000</v>
      </c>
      <c r="N103" t="s">
        <v>7</v>
      </c>
      <c r="O103">
        <v>1298483.98</v>
      </c>
      <c r="P103" t="s">
        <v>308</v>
      </c>
      <c r="Q103" t="s">
        <v>8</v>
      </c>
      <c r="R103">
        <v>130575269</v>
      </c>
      <c r="S103">
        <v>130575269</v>
      </c>
      <c r="T103">
        <v>130575269</v>
      </c>
      <c r="U103" t="s">
        <v>309</v>
      </c>
      <c r="V103" t="s">
        <v>9</v>
      </c>
    </row>
    <row r="104" spans="1:22" x14ac:dyDescent="0.25">
      <c r="A104">
        <v>41504028902</v>
      </c>
      <c r="B104" t="s">
        <v>10</v>
      </c>
      <c r="C104" t="s">
        <v>42</v>
      </c>
      <c r="D104">
        <v>41504028902</v>
      </c>
      <c r="E104" s="1">
        <v>46238.56610384259</v>
      </c>
      <c r="F104">
        <v>115</v>
      </c>
      <c r="G104">
        <v>3</v>
      </c>
      <c r="H104" t="s">
        <v>4</v>
      </c>
      <c r="I104" t="s">
        <v>5</v>
      </c>
      <c r="J104" t="s">
        <v>6</v>
      </c>
      <c r="K104">
        <v>18282827</v>
      </c>
      <c r="L104">
        <v>980420</v>
      </c>
      <c r="M104">
        <v>15000</v>
      </c>
      <c r="N104" t="s">
        <v>7</v>
      </c>
      <c r="O104">
        <v>194772.56</v>
      </c>
      <c r="P104" t="s">
        <v>36</v>
      </c>
      <c r="Q104" t="s">
        <v>11</v>
      </c>
      <c r="R104">
        <v>144653623</v>
      </c>
      <c r="S104">
        <v>144653623</v>
      </c>
      <c r="T104">
        <v>144653623</v>
      </c>
      <c r="U104" t="s">
        <v>310</v>
      </c>
      <c r="V104" t="s">
        <v>9</v>
      </c>
    </row>
    <row r="105" spans="1:22" x14ac:dyDescent="0.25">
      <c r="A105">
        <v>41506176989</v>
      </c>
      <c r="B105" t="s">
        <v>10</v>
      </c>
      <c r="C105" t="s">
        <v>42</v>
      </c>
      <c r="D105">
        <v>41506176989</v>
      </c>
      <c r="E105" s="1">
        <v>46239.802213900461</v>
      </c>
      <c r="F105">
        <v>115</v>
      </c>
      <c r="G105">
        <v>3</v>
      </c>
      <c r="H105" t="s">
        <v>311</v>
      </c>
      <c r="I105" t="s">
        <v>5</v>
      </c>
      <c r="J105" t="s">
        <v>6</v>
      </c>
      <c r="K105">
        <v>80166232</v>
      </c>
      <c r="L105">
        <v>159900</v>
      </c>
      <c r="M105">
        <v>100000</v>
      </c>
      <c r="N105" t="s">
        <v>7</v>
      </c>
      <c r="O105">
        <v>1298483.98</v>
      </c>
      <c r="P105" t="s">
        <v>45</v>
      </c>
      <c r="Q105" t="s">
        <v>8</v>
      </c>
      <c r="R105">
        <v>107953069</v>
      </c>
      <c r="S105">
        <v>107953069</v>
      </c>
      <c r="T105">
        <v>107953069</v>
      </c>
      <c r="U105" t="s">
        <v>312</v>
      </c>
      <c r="V105" t="s">
        <v>15</v>
      </c>
    </row>
    <row r="106" spans="1:22" x14ac:dyDescent="0.25">
      <c r="A106">
        <v>41506175931</v>
      </c>
      <c r="B106" t="s">
        <v>10</v>
      </c>
      <c r="C106" t="s">
        <v>42</v>
      </c>
      <c r="D106">
        <v>41506175931</v>
      </c>
      <c r="E106" s="1">
        <v>46239.801748020836</v>
      </c>
      <c r="F106">
        <v>115</v>
      </c>
      <c r="G106">
        <v>3</v>
      </c>
      <c r="H106" t="s">
        <v>311</v>
      </c>
      <c r="I106" t="s">
        <v>5</v>
      </c>
      <c r="J106" t="s">
        <v>6</v>
      </c>
      <c r="K106">
        <v>80166232</v>
      </c>
      <c r="L106">
        <v>159900</v>
      </c>
      <c r="M106">
        <v>100000</v>
      </c>
      <c r="N106" t="s">
        <v>7</v>
      </c>
      <c r="O106">
        <v>1298483.98</v>
      </c>
      <c r="P106" t="s">
        <v>45</v>
      </c>
      <c r="Q106" t="s">
        <v>8</v>
      </c>
      <c r="R106">
        <v>107953069</v>
      </c>
      <c r="S106">
        <v>107953069</v>
      </c>
      <c r="T106">
        <v>107953069</v>
      </c>
      <c r="U106" t="s">
        <v>312</v>
      </c>
      <c r="V106" t="s">
        <v>15</v>
      </c>
    </row>
    <row r="107" spans="1:22" x14ac:dyDescent="0.25">
      <c r="A107">
        <v>41505066348</v>
      </c>
      <c r="B107" t="s">
        <v>10</v>
      </c>
      <c r="C107" t="s">
        <v>42</v>
      </c>
      <c r="D107">
        <v>41505066348</v>
      </c>
      <c r="E107" s="1">
        <v>46239.360861435183</v>
      </c>
      <c r="F107">
        <v>115</v>
      </c>
      <c r="G107">
        <v>3</v>
      </c>
      <c r="H107" t="s">
        <v>4</v>
      </c>
      <c r="I107" t="s">
        <v>5</v>
      </c>
      <c r="J107" t="s">
        <v>6</v>
      </c>
      <c r="K107">
        <v>18282827</v>
      </c>
      <c r="L107">
        <v>980420</v>
      </c>
      <c r="M107">
        <v>17495</v>
      </c>
      <c r="N107" t="s">
        <v>7</v>
      </c>
      <c r="O107">
        <v>227169.75</v>
      </c>
      <c r="P107" t="s">
        <v>36</v>
      </c>
      <c r="Q107" t="s">
        <v>11</v>
      </c>
      <c r="R107">
        <v>144653623</v>
      </c>
      <c r="S107">
        <v>144653623</v>
      </c>
      <c r="T107">
        <v>144653623</v>
      </c>
      <c r="U107" t="s">
        <v>310</v>
      </c>
      <c r="V107" t="s">
        <v>9</v>
      </c>
    </row>
    <row r="108" spans="1:22" x14ac:dyDescent="0.25">
      <c r="A108">
        <v>41507644990</v>
      </c>
      <c r="B108" t="s">
        <v>10</v>
      </c>
      <c r="C108" t="s">
        <v>42</v>
      </c>
      <c r="D108">
        <v>41507644990</v>
      </c>
      <c r="E108" s="1">
        <v>46240.765208333331</v>
      </c>
      <c r="F108">
        <v>115</v>
      </c>
      <c r="G108">
        <v>3</v>
      </c>
      <c r="H108" t="s">
        <v>4</v>
      </c>
      <c r="I108" t="s">
        <v>5</v>
      </c>
      <c r="J108" t="s">
        <v>6</v>
      </c>
      <c r="K108">
        <v>70663619</v>
      </c>
      <c r="L108">
        <v>609204</v>
      </c>
      <c r="M108">
        <v>19990</v>
      </c>
      <c r="N108" t="s">
        <v>7</v>
      </c>
      <c r="O108">
        <v>259566.93</v>
      </c>
      <c r="P108" t="s">
        <v>313</v>
      </c>
      <c r="Q108" t="s">
        <v>11</v>
      </c>
      <c r="R108">
        <v>92008465</v>
      </c>
      <c r="S108">
        <v>92008465</v>
      </c>
      <c r="T108">
        <v>92008465</v>
      </c>
      <c r="U108" t="s">
        <v>314</v>
      </c>
      <c r="V108" t="s">
        <v>9</v>
      </c>
    </row>
    <row r="109" spans="1:22" x14ac:dyDescent="0.25">
      <c r="A109">
        <v>41507542452</v>
      </c>
      <c r="B109" t="s">
        <v>2</v>
      </c>
      <c r="C109" t="s">
        <v>42</v>
      </c>
      <c r="D109">
        <v>41507542452</v>
      </c>
      <c r="E109" s="1">
        <v>46240.723994270833</v>
      </c>
      <c r="F109">
        <v>115</v>
      </c>
      <c r="G109">
        <v>3</v>
      </c>
      <c r="H109" t="s">
        <v>4</v>
      </c>
      <c r="I109" t="s">
        <v>5</v>
      </c>
      <c r="J109" t="s">
        <v>6</v>
      </c>
      <c r="K109">
        <v>83770192</v>
      </c>
      <c r="L109">
        <v>203964</v>
      </c>
      <c r="M109">
        <v>99000</v>
      </c>
      <c r="N109" t="s">
        <v>7</v>
      </c>
      <c r="O109">
        <v>1285499.1399999999</v>
      </c>
      <c r="P109" t="s">
        <v>275</v>
      </c>
      <c r="Q109" t="s">
        <v>8</v>
      </c>
      <c r="R109">
        <v>111831293</v>
      </c>
      <c r="S109">
        <v>111831293</v>
      </c>
      <c r="T109">
        <v>111831293</v>
      </c>
      <c r="U109" t="s">
        <v>276</v>
      </c>
      <c r="V109" t="s">
        <v>9</v>
      </c>
    </row>
    <row r="110" spans="1:22" x14ac:dyDescent="0.25">
      <c r="A110">
        <v>41506604141</v>
      </c>
      <c r="B110" t="s">
        <v>10</v>
      </c>
      <c r="C110" t="s">
        <v>42</v>
      </c>
      <c r="D110">
        <v>41506604141</v>
      </c>
      <c r="E110" s="1">
        <v>46240.363165173614</v>
      </c>
      <c r="F110">
        <v>115</v>
      </c>
      <c r="G110">
        <v>3</v>
      </c>
      <c r="H110" t="s">
        <v>4</v>
      </c>
      <c r="I110" t="s">
        <v>5</v>
      </c>
      <c r="J110" t="s">
        <v>6</v>
      </c>
      <c r="K110">
        <v>18406146</v>
      </c>
      <c r="L110">
        <v>406369</v>
      </c>
      <c r="M110">
        <v>40000</v>
      </c>
      <c r="N110" t="s">
        <v>7</v>
      </c>
      <c r="O110">
        <v>519393.55</v>
      </c>
      <c r="P110" t="s">
        <v>315</v>
      </c>
      <c r="Q110" t="s">
        <v>8</v>
      </c>
      <c r="R110">
        <v>113231211</v>
      </c>
      <c r="S110">
        <v>113231211</v>
      </c>
      <c r="T110">
        <v>113231211</v>
      </c>
      <c r="U110" t="s">
        <v>316</v>
      </c>
      <c r="V110" t="s">
        <v>9</v>
      </c>
    </row>
    <row r="111" spans="1:22" x14ac:dyDescent="0.25">
      <c r="A111">
        <v>41508798982</v>
      </c>
      <c r="B111" t="s">
        <v>10</v>
      </c>
      <c r="C111" t="s">
        <v>42</v>
      </c>
      <c r="D111">
        <v>41508798982</v>
      </c>
      <c r="E111" s="1">
        <v>46241.599341331021</v>
      </c>
      <c r="F111">
        <v>115</v>
      </c>
      <c r="G111">
        <v>3</v>
      </c>
      <c r="H111" t="s">
        <v>4</v>
      </c>
      <c r="I111" t="s">
        <v>5</v>
      </c>
      <c r="J111" t="s">
        <v>6</v>
      </c>
      <c r="K111">
        <v>68423381</v>
      </c>
      <c r="L111">
        <v>40004</v>
      </c>
      <c r="M111">
        <v>13200</v>
      </c>
      <c r="N111" t="s">
        <v>7</v>
      </c>
      <c r="O111">
        <v>171399.84</v>
      </c>
      <c r="P111" t="s">
        <v>317</v>
      </c>
      <c r="Q111" t="s">
        <v>11</v>
      </c>
      <c r="R111">
        <v>99706335</v>
      </c>
      <c r="S111">
        <v>99706335</v>
      </c>
      <c r="T111">
        <v>99706335</v>
      </c>
      <c r="U111" t="s">
        <v>318</v>
      </c>
      <c r="V111" t="s">
        <v>9</v>
      </c>
    </row>
    <row r="112" spans="1:22" x14ac:dyDescent="0.25">
      <c r="A112">
        <v>41512058559</v>
      </c>
      <c r="B112" t="s">
        <v>10</v>
      </c>
      <c r="C112" t="s">
        <v>42</v>
      </c>
      <c r="D112">
        <v>41512058559</v>
      </c>
      <c r="E112" s="1">
        <v>46243.834629398145</v>
      </c>
      <c r="F112">
        <v>115</v>
      </c>
      <c r="G112">
        <v>3</v>
      </c>
      <c r="H112" t="s">
        <v>4</v>
      </c>
      <c r="I112" t="s">
        <v>5</v>
      </c>
      <c r="J112" t="s">
        <v>6</v>
      </c>
      <c r="K112">
        <v>48042380</v>
      </c>
      <c r="L112">
        <v>70116</v>
      </c>
      <c r="M112">
        <v>53295</v>
      </c>
      <c r="N112" t="s">
        <v>7</v>
      </c>
      <c r="O112">
        <v>692027.05</v>
      </c>
      <c r="P112" t="s">
        <v>319</v>
      </c>
      <c r="Q112" t="s">
        <v>8</v>
      </c>
      <c r="R112">
        <v>128207073</v>
      </c>
      <c r="S112">
        <v>128207073</v>
      </c>
      <c r="T112">
        <v>128207073</v>
      </c>
      <c r="U112" t="s">
        <v>320</v>
      </c>
      <c r="V112" t="s">
        <v>321</v>
      </c>
    </row>
    <row r="113" spans="1:22" x14ac:dyDescent="0.25">
      <c r="A113">
        <v>41452226654</v>
      </c>
      <c r="B113" t="s">
        <v>2</v>
      </c>
      <c r="C113" t="s">
        <v>109</v>
      </c>
      <c r="D113">
        <v>41452226654</v>
      </c>
      <c r="E113" s="1">
        <v>46207.438342685185</v>
      </c>
      <c r="F113">
        <v>115</v>
      </c>
      <c r="G113">
        <v>3</v>
      </c>
      <c r="H113" t="s">
        <v>4</v>
      </c>
      <c r="I113" t="s">
        <v>5</v>
      </c>
      <c r="J113" t="s">
        <v>6</v>
      </c>
      <c r="K113">
        <v>16281625</v>
      </c>
      <c r="L113">
        <v>608407</v>
      </c>
      <c r="M113">
        <v>100000</v>
      </c>
      <c r="N113" t="s">
        <v>7</v>
      </c>
      <c r="O113">
        <v>1290549.53</v>
      </c>
      <c r="P113" t="s">
        <v>61</v>
      </c>
      <c r="Q113" t="s">
        <v>8</v>
      </c>
      <c r="R113">
        <v>128533080</v>
      </c>
      <c r="S113">
        <v>128533080</v>
      </c>
      <c r="T113">
        <v>128533080</v>
      </c>
      <c r="U113" t="s">
        <v>62</v>
      </c>
      <c r="V113" t="s">
        <v>63</v>
      </c>
    </row>
    <row r="114" spans="1:22" x14ac:dyDescent="0.25">
      <c r="A114">
        <v>41456899665</v>
      </c>
      <c r="B114" t="s">
        <v>10</v>
      </c>
      <c r="C114" t="s">
        <v>109</v>
      </c>
      <c r="D114">
        <v>41456899665</v>
      </c>
      <c r="E114" s="1">
        <v>46210.477408171297</v>
      </c>
      <c r="F114">
        <v>115</v>
      </c>
      <c r="G114">
        <v>3</v>
      </c>
      <c r="H114" t="s">
        <v>4</v>
      </c>
      <c r="I114" t="s">
        <v>5</v>
      </c>
      <c r="J114" t="s">
        <v>6</v>
      </c>
      <c r="K114">
        <v>85532110</v>
      </c>
      <c r="L114">
        <v>608407</v>
      </c>
      <c r="M114">
        <v>55000</v>
      </c>
      <c r="N114" t="s">
        <v>7</v>
      </c>
      <c r="O114">
        <v>709802.3</v>
      </c>
      <c r="P114" t="s">
        <v>111</v>
      </c>
      <c r="Q114" t="s">
        <v>8</v>
      </c>
      <c r="R114">
        <v>123478273</v>
      </c>
      <c r="S114">
        <v>123478273</v>
      </c>
      <c r="T114">
        <v>123478273</v>
      </c>
      <c r="U114" t="s">
        <v>112</v>
      </c>
      <c r="V114" t="s">
        <v>9</v>
      </c>
    </row>
    <row r="115" spans="1:22" x14ac:dyDescent="0.25">
      <c r="A115">
        <v>41458638970</v>
      </c>
      <c r="B115" t="s">
        <v>10</v>
      </c>
      <c r="C115" t="s">
        <v>109</v>
      </c>
      <c r="D115">
        <v>41458638970</v>
      </c>
      <c r="E115" s="1">
        <v>46211.500167245373</v>
      </c>
      <c r="F115">
        <v>115</v>
      </c>
      <c r="G115">
        <v>3</v>
      </c>
      <c r="H115" t="s">
        <v>4</v>
      </c>
      <c r="I115" t="s">
        <v>5</v>
      </c>
      <c r="J115" t="s">
        <v>6</v>
      </c>
      <c r="K115">
        <v>61949425</v>
      </c>
      <c r="L115">
        <v>406437</v>
      </c>
      <c r="M115">
        <v>49990</v>
      </c>
      <c r="N115" t="s">
        <v>7</v>
      </c>
      <c r="O115">
        <v>645145.71</v>
      </c>
      <c r="P115" t="s">
        <v>34</v>
      </c>
      <c r="Q115" t="s">
        <v>8</v>
      </c>
      <c r="R115">
        <v>118924208</v>
      </c>
      <c r="S115">
        <v>118924208</v>
      </c>
      <c r="T115">
        <v>118924208</v>
      </c>
      <c r="U115" t="s">
        <v>35</v>
      </c>
      <c r="V115" t="s">
        <v>9</v>
      </c>
    </row>
    <row r="116" spans="1:22" x14ac:dyDescent="0.25">
      <c r="A116">
        <v>41458656962</v>
      </c>
      <c r="B116" t="s">
        <v>10</v>
      </c>
      <c r="C116" t="s">
        <v>109</v>
      </c>
      <c r="D116">
        <v>41458656962</v>
      </c>
      <c r="E116" s="1">
        <v>46211.506139965277</v>
      </c>
      <c r="F116">
        <v>115</v>
      </c>
      <c r="G116">
        <v>3</v>
      </c>
      <c r="H116" t="s">
        <v>4</v>
      </c>
      <c r="I116" t="s">
        <v>5</v>
      </c>
      <c r="J116" t="s">
        <v>6</v>
      </c>
      <c r="K116">
        <v>12775154</v>
      </c>
      <c r="L116">
        <v>406437</v>
      </c>
      <c r="M116">
        <v>89861</v>
      </c>
      <c r="N116" t="s">
        <v>7</v>
      </c>
      <c r="O116">
        <v>1159700.77</v>
      </c>
      <c r="P116" t="s">
        <v>113</v>
      </c>
      <c r="Q116" t="s">
        <v>8</v>
      </c>
      <c r="R116">
        <v>107919482</v>
      </c>
      <c r="S116">
        <v>107919482</v>
      </c>
      <c r="T116">
        <v>107919482</v>
      </c>
      <c r="U116" t="s">
        <v>114</v>
      </c>
      <c r="V116" t="s">
        <v>115</v>
      </c>
    </row>
    <row r="117" spans="1:22" x14ac:dyDescent="0.25">
      <c r="A117">
        <v>41462004245</v>
      </c>
      <c r="B117" t="s">
        <v>10</v>
      </c>
      <c r="C117" t="s">
        <v>109</v>
      </c>
      <c r="D117">
        <v>41462004245</v>
      </c>
      <c r="E117" s="1">
        <v>46213.504077106481</v>
      </c>
      <c r="F117">
        <v>115</v>
      </c>
      <c r="G117">
        <v>3</v>
      </c>
      <c r="H117" t="s">
        <v>4</v>
      </c>
      <c r="I117" t="s">
        <v>5</v>
      </c>
      <c r="J117" t="s">
        <v>6</v>
      </c>
      <c r="K117">
        <v>6666272</v>
      </c>
      <c r="L117">
        <v>180002</v>
      </c>
      <c r="M117">
        <v>80000</v>
      </c>
      <c r="N117" t="s">
        <v>7</v>
      </c>
      <c r="O117">
        <v>1032439.7</v>
      </c>
      <c r="P117" t="s">
        <v>116</v>
      </c>
      <c r="Q117" t="s">
        <v>8</v>
      </c>
      <c r="R117">
        <v>110380607</v>
      </c>
      <c r="S117">
        <v>110380607</v>
      </c>
      <c r="T117">
        <v>110380607</v>
      </c>
      <c r="U117" t="s">
        <v>117</v>
      </c>
      <c r="V117" t="s">
        <v>15</v>
      </c>
    </row>
    <row r="118" spans="1:22" x14ac:dyDescent="0.25">
      <c r="A118">
        <v>41461945768</v>
      </c>
      <c r="B118" t="s">
        <v>10</v>
      </c>
      <c r="C118" t="s">
        <v>109</v>
      </c>
      <c r="D118">
        <v>41461945768</v>
      </c>
      <c r="E118" s="1">
        <v>46213.485443680554</v>
      </c>
      <c r="F118">
        <v>115</v>
      </c>
      <c r="G118">
        <v>3</v>
      </c>
      <c r="H118" t="s">
        <v>12</v>
      </c>
      <c r="I118" t="s">
        <v>5</v>
      </c>
      <c r="J118" t="s">
        <v>6</v>
      </c>
      <c r="K118">
        <v>32639139</v>
      </c>
      <c r="L118">
        <v>600111</v>
      </c>
      <c r="M118">
        <v>28200</v>
      </c>
      <c r="N118" t="s">
        <v>7</v>
      </c>
      <c r="O118">
        <v>363935</v>
      </c>
      <c r="P118" t="s">
        <v>13</v>
      </c>
      <c r="Q118" t="s">
        <v>8</v>
      </c>
      <c r="R118">
        <v>129901054</v>
      </c>
      <c r="S118">
        <v>129901054</v>
      </c>
      <c r="T118">
        <v>129901054</v>
      </c>
      <c r="U118" t="s">
        <v>14</v>
      </c>
      <c r="V118" t="s">
        <v>15</v>
      </c>
    </row>
    <row r="119" spans="1:22" x14ac:dyDescent="0.25">
      <c r="A119">
        <v>41461930756</v>
      </c>
      <c r="B119" t="s">
        <v>10</v>
      </c>
      <c r="C119" t="s">
        <v>109</v>
      </c>
      <c r="D119">
        <v>41461930756</v>
      </c>
      <c r="E119" s="1">
        <v>46213.480894513887</v>
      </c>
      <c r="F119">
        <v>115</v>
      </c>
      <c r="G119">
        <v>3</v>
      </c>
      <c r="H119" t="s">
        <v>110</v>
      </c>
      <c r="I119" t="s">
        <v>5</v>
      </c>
      <c r="J119" t="s">
        <v>6</v>
      </c>
      <c r="K119">
        <v>37328301</v>
      </c>
      <c r="L119">
        <v>86064</v>
      </c>
      <c r="M119">
        <v>15000</v>
      </c>
      <c r="N119" t="s">
        <v>7</v>
      </c>
      <c r="O119">
        <v>193582.44</v>
      </c>
      <c r="P119" t="s">
        <v>118</v>
      </c>
      <c r="Q119" t="s">
        <v>8</v>
      </c>
      <c r="R119">
        <v>123516163</v>
      </c>
      <c r="S119">
        <v>148822042</v>
      </c>
      <c r="T119">
        <v>123516163</v>
      </c>
      <c r="U119" t="s">
        <v>119</v>
      </c>
      <c r="V119" t="s">
        <v>9</v>
      </c>
    </row>
    <row r="120" spans="1:22" x14ac:dyDescent="0.25">
      <c r="A120">
        <v>41466102155</v>
      </c>
      <c r="B120" t="s">
        <v>10</v>
      </c>
      <c r="C120" t="s">
        <v>109</v>
      </c>
      <c r="D120">
        <v>41466102155</v>
      </c>
      <c r="E120" s="1">
        <v>46216.432652754629</v>
      </c>
      <c r="F120">
        <v>115</v>
      </c>
      <c r="G120">
        <v>3</v>
      </c>
      <c r="H120" t="s">
        <v>48</v>
      </c>
      <c r="I120" t="s">
        <v>5</v>
      </c>
      <c r="J120" t="s">
        <v>6</v>
      </c>
      <c r="K120">
        <v>95453348</v>
      </c>
      <c r="L120">
        <v>401263</v>
      </c>
      <c r="M120">
        <v>20000</v>
      </c>
      <c r="N120" t="s">
        <v>7</v>
      </c>
      <c r="O120">
        <v>258109.93</v>
      </c>
      <c r="P120" t="s">
        <v>120</v>
      </c>
      <c r="Q120" t="s">
        <v>8</v>
      </c>
      <c r="R120">
        <v>104667308</v>
      </c>
      <c r="S120">
        <v>104667308</v>
      </c>
      <c r="T120">
        <v>104667308</v>
      </c>
      <c r="U120" t="s">
        <v>121</v>
      </c>
      <c r="V120" t="s">
        <v>43</v>
      </c>
    </row>
    <row r="121" spans="1:22" x14ac:dyDescent="0.25">
      <c r="A121">
        <v>41469450367</v>
      </c>
      <c r="B121" t="s">
        <v>10</v>
      </c>
      <c r="C121" t="s">
        <v>109</v>
      </c>
      <c r="D121">
        <v>41469450367</v>
      </c>
      <c r="E121" s="1">
        <v>46218.527323796297</v>
      </c>
      <c r="F121">
        <v>115</v>
      </c>
      <c r="G121">
        <v>3</v>
      </c>
      <c r="H121" t="s">
        <v>4</v>
      </c>
      <c r="I121" t="s">
        <v>5</v>
      </c>
      <c r="J121" t="s">
        <v>6</v>
      </c>
      <c r="K121">
        <v>91459589</v>
      </c>
      <c r="L121">
        <v>406437</v>
      </c>
      <c r="M121">
        <v>20000</v>
      </c>
      <c r="N121" t="s">
        <v>7</v>
      </c>
      <c r="O121">
        <v>258109.93</v>
      </c>
      <c r="P121" t="s">
        <v>122</v>
      </c>
      <c r="Q121" t="s">
        <v>8</v>
      </c>
      <c r="R121">
        <v>116609553</v>
      </c>
      <c r="S121">
        <v>116609553</v>
      </c>
      <c r="T121">
        <v>116609553</v>
      </c>
      <c r="U121" t="s">
        <v>123</v>
      </c>
      <c r="V121" t="s">
        <v>9</v>
      </c>
    </row>
    <row r="122" spans="1:22" x14ac:dyDescent="0.25">
      <c r="A122">
        <v>41495789445</v>
      </c>
      <c r="B122" t="s">
        <v>10</v>
      </c>
      <c r="C122" t="s">
        <v>322</v>
      </c>
      <c r="D122">
        <v>41495789445</v>
      </c>
      <c r="E122" s="1">
        <v>46233.337318483798</v>
      </c>
      <c r="F122">
        <v>115</v>
      </c>
      <c r="G122">
        <v>3</v>
      </c>
      <c r="H122" t="s">
        <v>4</v>
      </c>
      <c r="I122" t="s">
        <v>5</v>
      </c>
      <c r="J122" t="s">
        <v>6</v>
      </c>
      <c r="K122">
        <v>49067234</v>
      </c>
      <c r="L122">
        <v>608407</v>
      </c>
      <c r="M122">
        <v>20000</v>
      </c>
      <c r="N122" t="s">
        <v>7</v>
      </c>
      <c r="O122">
        <v>259696.78</v>
      </c>
      <c r="P122" t="s">
        <v>293</v>
      </c>
      <c r="Q122" t="s">
        <v>11</v>
      </c>
      <c r="R122">
        <v>117896027</v>
      </c>
      <c r="S122">
        <v>117896027</v>
      </c>
      <c r="T122">
        <v>117896027</v>
      </c>
      <c r="U122" t="s">
        <v>294</v>
      </c>
      <c r="V122" t="s">
        <v>15</v>
      </c>
    </row>
    <row r="123" spans="1:22" x14ac:dyDescent="0.25">
      <c r="A123">
        <v>41495811253</v>
      </c>
      <c r="B123" t="s">
        <v>2</v>
      </c>
      <c r="C123" t="s">
        <v>322</v>
      </c>
      <c r="D123">
        <v>41495811253</v>
      </c>
      <c r="E123" s="1">
        <v>46233.348708923608</v>
      </c>
      <c r="F123">
        <v>115</v>
      </c>
      <c r="G123">
        <v>3</v>
      </c>
      <c r="H123" t="s">
        <v>4</v>
      </c>
      <c r="I123" t="s">
        <v>5</v>
      </c>
      <c r="J123" t="s">
        <v>6</v>
      </c>
      <c r="K123">
        <v>12808787</v>
      </c>
      <c r="L123">
        <v>406437</v>
      </c>
      <c r="M123">
        <v>13590</v>
      </c>
      <c r="N123" t="s">
        <v>7</v>
      </c>
      <c r="O123">
        <v>176463.93</v>
      </c>
      <c r="P123" t="s">
        <v>290</v>
      </c>
      <c r="Q123" t="s">
        <v>11</v>
      </c>
      <c r="R123">
        <v>117384925</v>
      </c>
      <c r="S123">
        <v>117384925</v>
      </c>
      <c r="T123">
        <v>117384925</v>
      </c>
      <c r="U123" t="s">
        <v>291</v>
      </c>
      <c r="V123" t="s">
        <v>292</v>
      </c>
    </row>
    <row r="124" spans="1:22" x14ac:dyDescent="0.25">
      <c r="A124">
        <v>41505066348</v>
      </c>
      <c r="B124" t="s">
        <v>10</v>
      </c>
      <c r="C124" t="s">
        <v>322</v>
      </c>
      <c r="D124">
        <v>41505066348</v>
      </c>
      <c r="E124" s="1">
        <v>46239.360861435183</v>
      </c>
      <c r="F124">
        <v>115</v>
      </c>
      <c r="G124">
        <v>3</v>
      </c>
      <c r="H124" t="s">
        <v>4</v>
      </c>
      <c r="I124" t="s">
        <v>5</v>
      </c>
      <c r="J124" t="s">
        <v>6</v>
      </c>
      <c r="K124">
        <v>18282827</v>
      </c>
      <c r="L124">
        <v>980420</v>
      </c>
      <c r="M124">
        <v>17495</v>
      </c>
      <c r="N124" t="s">
        <v>7</v>
      </c>
      <c r="O124">
        <v>227169.75</v>
      </c>
      <c r="P124" t="s">
        <v>36</v>
      </c>
      <c r="Q124" t="s">
        <v>11</v>
      </c>
      <c r="R124">
        <v>144653623</v>
      </c>
      <c r="S124">
        <v>144653623</v>
      </c>
      <c r="T124">
        <v>144653623</v>
      </c>
      <c r="U124" t="s">
        <v>310</v>
      </c>
      <c r="V124" t="s">
        <v>9</v>
      </c>
    </row>
    <row r="125" spans="1:22" x14ac:dyDescent="0.25">
      <c r="A125">
        <v>41506604141</v>
      </c>
      <c r="B125" t="s">
        <v>10</v>
      </c>
      <c r="C125" t="s">
        <v>322</v>
      </c>
      <c r="D125">
        <v>41506604141</v>
      </c>
      <c r="E125" s="1">
        <v>46240.363165173614</v>
      </c>
      <c r="F125">
        <v>115</v>
      </c>
      <c r="G125">
        <v>3</v>
      </c>
      <c r="H125" t="s">
        <v>4</v>
      </c>
      <c r="I125" t="s">
        <v>5</v>
      </c>
      <c r="J125" t="s">
        <v>6</v>
      </c>
      <c r="K125">
        <v>18406146</v>
      </c>
      <c r="L125">
        <v>406369</v>
      </c>
      <c r="M125">
        <v>40000</v>
      </c>
      <c r="N125" t="s">
        <v>7</v>
      </c>
      <c r="O125">
        <v>519393.55</v>
      </c>
      <c r="P125" t="s">
        <v>315</v>
      </c>
      <c r="Q125" t="s">
        <v>8</v>
      </c>
      <c r="R125">
        <v>113231211</v>
      </c>
      <c r="S125">
        <v>113231211</v>
      </c>
      <c r="T125">
        <v>113231211</v>
      </c>
      <c r="U125" t="s">
        <v>316</v>
      </c>
      <c r="V125" t="s">
        <v>9</v>
      </c>
    </row>
    <row r="126" spans="1:22" x14ac:dyDescent="0.25">
      <c r="A126">
        <v>41466483811</v>
      </c>
      <c r="B126" t="s">
        <v>10</v>
      </c>
      <c r="C126" t="s">
        <v>124</v>
      </c>
      <c r="D126">
        <v>41466483811</v>
      </c>
      <c r="E126" s="1">
        <v>46216.567181909719</v>
      </c>
      <c r="F126">
        <v>98</v>
      </c>
      <c r="G126">
        <v>3</v>
      </c>
      <c r="H126" t="s">
        <v>81</v>
      </c>
      <c r="I126" t="s">
        <v>82</v>
      </c>
      <c r="J126" t="s">
        <v>6</v>
      </c>
      <c r="K126" t="s">
        <v>83</v>
      </c>
      <c r="L126" t="s">
        <v>26</v>
      </c>
      <c r="M126">
        <v>116900</v>
      </c>
      <c r="N126" t="s">
        <v>27</v>
      </c>
      <c r="O126">
        <v>1296136.6100000001</v>
      </c>
      <c r="P126" t="s">
        <v>84</v>
      </c>
      <c r="Q126" t="s">
        <v>8</v>
      </c>
      <c r="R126">
        <v>109278002</v>
      </c>
      <c r="S126">
        <v>109278002</v>
      </c>
      <c r="T126">
        <v>109278002</v>
      </c>
      <c r="U126" t="s">
        <v>85</v>
      </c>
      <c r="V126" t="s">
        <v>28</v>
      </c>
    </row>
    <row r="127" spans="1:22" x14ac:dyDescent="0.25">
      <c r="A127">
        <v>41446939640</v>
      </c>
      <c r="B127" t="s">
        <v>10</v>
      </c>
      <c r="C127" t="s">
        <v>125</v>
      </c>
      <c r="D127">
        <v>41446939640</v>
      </c>
      <c r="E127" s="1">
        <v>46204.443933437498</v>
      </c>
      <c r="F127">
        <v>69</v>
      </c>
      <c r="G127">
        <v>3</v>
      </c>
      <c r="H127" t="s">
        <v>4</v>
      </c>
      <c r="I127" t="s">
        <v>5</v>
      </c>
      <c r="J127" t="s">
        <v>6</v>
      </c>
      <c r="K127">
        <v>80432571</v>
      </c>
      <c r="L127">
        <v>200771</v>
      </c>
      <c r="M127">
        <v>1500000</v>
      </c>
      <c r="N127" t="s">
        <v>7</v>
      </c>
      <c r="O127">
        <v>19297059.140000001</v>
      </c>
      <c r="P127" t="s">
        <v>36</v>
      </c>
      <c r="Q127" t="s">
        <v>8</v>
      </c>
      <c r="R127">
        <v>88738513</v>
      </c>
      <c r="S127">
        <v>88738513</v>
      </c>
      <c r="T127">
        <v>88738513</v>
      </c>
      <c r="U127" t="s">
        <v>126</v>
      </c>
      <c r="V127" t="s">
        <v>15</v>
      </c>
    </row>
    <row r="128" spans="1:22" x14ac:dyDescent="0.25">
      <c r="A128">
        <v>41479581129</v>
      </c>
      <c r="B128" t="s">
        <v>10</v>
      </c>
      <c r="C128" t="s">
        <v>125</v>
      </c>
      <c r="D128">
        <v>41479581129</v>
      </c>
      <c r="E128" s="1">
        <v>46224.589946030093</v>
      </c>
      <c r="F128">
        <v>69</v>
      </c>
      <c r="G128">
        <v>3</v>
      </c>
      <c r="H128" t="s">
        <v>4</v>
      </c>
      <c r="I128" t="s">
        <v>5</v>
      </c>
      <c r="J128" t="s">
        <v>6</v>
      </c>
      <c r="K128">
        <v>31682626</v>
      </c>
      <c r="L128">
        <v>40075</v>
      </c>
      <c r="M128">
        <v>1280000</v>
      </c>
      <c r="N128" t="s">
        <v>7</v>
      </c>
      <c r="O128">
        <v>16620595.1</v>
      </c>
      <c r="P128" t="s">
        <v>127</v>
      </c>
      <c r="Q128" t="s">
        <v>8</v>
      </c>
      <c r="R128">
        <v>113290936</v>
      </c>
      <c r="S128">
        <v>113290936</v>
      </c>
      <c r="T128">
        <v>113290936</v>
      </c>
      <c r="U128" t="s">
        <v>41</v>
      </c>
      <c r="V128" t="s">
        <v>9</v>
      </c>
    </row>
    <row r="129" spans="1:22" x14ac:dyDescent="0.25">
      <c r="A129">
        <v>41446946687</v>
      </c>
      <c r="B129" t="s">
        <v>10</v>
      </c>
      <c r="C129" t="s">
        <v>128</v>
      </c>
      <c r="D129">
        <v>41446946687</v>
      </c>
      <c r="E129" s="1">
        <v>46204.446696261577</v>
      </c>
      <c r="F129">
        <v>69</v>
      </c>
      <c r="G129">
        <v>3</v>
      </c>
      <c r="H129" t="s">
        <v>4</v>
      </c>
      <c r="I129" t="s">
        <v>5</v>
      </c>
      <c r="J129" t="s">
        <v>6</v>
      </c>
      <c r="K129">
        <v>80432571</v>
      </c>
      <c r="L129">
        <v>200771</v>
      </c>
      <c r="M129">
        <v>320000</v>
      </c>
      <c r="N129" t="s">
        <v>7</v>
      </c>
      <c r="O129">
        <v>4116705.96</v>
      </c>
      <c r="P129" t="s">
        <v>129</v>
      </c>
      <c r="Q129" t="s">
        <v>8</v>
      </c>
      <c r="R129">
        <v>88738513</v>
      </c>
      <c r="S129">
        <v>88738513</v>
      </c>
      <c r="T129">
        <v>88738513</v>
      </c>
      <c r="U129" t="s">
        <v>126</v>
      </c>
      <c r="V129" t="s">
        <v>15</v>
      </c>
    </row>
    <row r="130" spans="1:22" x14ac:dyDescent="0.25">
      <c r="A130">
        <v>41449900442</v>
      </c>
      <c r="B130" t="s">
        <v>10</v>
      </c>
      <c r="C130" t="s">
        <v>128</v>
      </c>
      <c r="D130">
        <v>41449900442</v>
      </c>
      <c r="E130" s="1">
        <v>46205.823843437502</v>
      </c>
      <c r="F130">
        <v>115</v>
      </c>
      <c r="G130">
        <v>3</v>
      </c>
      <c r="H130" t="s">
        <v>4</v>
      </c>
      <c r="I130" t="s">
        <v>5</v>
      </c>
      <c r="J130" t="s">
        <v>6</v>
      </c>
      <c r="K130">
        <v>50604895</v>
      </c>
      <c r="L130">
        <v>204673</v>
      </c>
      <c r="M130">
        <v>25000</v>
      </c>
      <c r="N130" t="s">
        <v>7</v>
      </c>
      <c r="O130">
        <v>322637.40999999997</v>
      </c>
      <c r="P130" t="s">
        <v>56</v>
      </c>
      <c r="Q130" t="s">
        <v>8</v>
      </c>
      <c r="R130">
        <v>148159213</v>
      </c>
      <c r="S130">
        <v>148159213</v>
      </c>
      <c r="T130">
        <v>148159213</v>
      </c>
      <c r="U130" t="s">
        <v>57</v>
      </c>
      <c r="V130" t="s">
        <v>9</v>
      </c>
    </row>
    <row r="131" spans="1:22" x14ac:dyDescent="0.25">
      <c r="A131">
        <v>41449578507</v>
      </c>
      <c r="B131" t="s">
        <v>10</v>
      </c>
      <c r="C131" t="s">
        <v>128</v>
      </c>
      <c r="D131">
        <v>41449578507</v>
      </c>
      <c r="E131" s="1">
        <v>46205.701892407407</v>
      </c>
      <c r="F131">
        <v>115</v>
      </c>
      <c r="G131">
        <v>3</v>
      </c>
      <c r="H131" t="s">
        <v>4</v>
      </c>
      <c r="I131" t="s">
        <v>5</v>
      </c>
      <c r="J131" t="s">
        <v>6</v>
      </c>
      <c r="K131">
        <v>61658919</v>
      </c>
      <c r="L131">
        <v>406437</v>
      </c>
      <c r="M131">
        <v>90000</v>
      </c>
      <c r="N131" t="s">
        <v>7</v>
      </c>
      <c r="O131">
        <v>1161494.57</v>
      </c>
      <c r="P131" t="s">
        <v>58</v>
      </c>
      <c r="Q131" t="s">
        <v>8</v>
      </c>
      <c r="R131">
        <v>86816444</v>
      </c>
      <c r="S131">
        <v>86816444</v>
      </c>
      <c r="T131">
        <v>86816444</v>
      </c>
      <c r="U131" t="s">
        <v>59</v>
      </c>
      <c r="V131" t="s">
        <v>9</v>
      </c>
    </row>
    <row r="132" spans="1:22" x14ac:dyDescent="0.25">
      <c r="A132">
        <v>41451344908</v>
      </c>
      <c r="B132" t="s">
        <v>10</v>
      </c>
      <c r="C132" t="s">
        <v>128</v>
      </c>
      <c r="D132">
        <v>41451344908</v>
      </c>
      <c r="E132" s="1">
        <v>46206.679814247684</v>
      </c>
      <c r="F132">
        <v>115</v>
      </c>
      <c r="G132">
        <v>3</v>
      </c>
      <c r="H132" t="s">
        <v>4</v>
      </c>
      <c r="I132" t="s">
        <v>5</v>
      </c>
      <c r="J132" t="s">
        <v>6</v>
      </c>
      <c r="K132">
        <v>16281625</v>
      </c>
      <c r="L132">
        <v>608407</v>
      </c>
      <c r="M132">
        <v>100000</v>
      </c>
      <c r="N132" t="s">
        <v>7</v>
      </c>
      <c r="O132">
        <v>1290549.53</v>
      </c>
      <c r="P132" t="s">
        <v>61</v>
      </c>
      <c r="Q132" t="s">
        <v>8</v>
      </c>
      <c r="R132">
        <v>128533080</v>
      </c>
      <c r="S132">
        <v>128533080</v>
      </c>
      <c r="T132">
        <v>128533080</v>
      </c>
      <c r="U132" t="s">
        <v>62</v>
      </c>
      <c r="V132" t="s">
        <v>63</v>
      </c>
    </row>
    <row r="133" spans="1:22" x14ac:dyDescent="0.25">
      <c r="A133">
        <v>41451349515</v>
      </c>
      <c r="B133" t="s">
        <v>2</v>
      </c>
      <c r="C133" t="s">
        <v>128</v>
      </c>
      <c r="D133">
        <v>41451349515</v>
      </c>
      <c r="E133" s="1">
        <v>46206.681241840277</v>
      </c>
      <c r="F133">
        <v>115</v>
      </c>
      <c r="G133">
        <v>3</v>
      </c>
      <c r="H133" t="s">
        <v>4</v>
      </c>
      <c r="I133" t="s">
        <v>5</v>
      </c>
      <c r="J133" t="s">
        <v>6</v>
      </c>
      <c r="K133">
        <v>16281625</v>
      </c>
      <c r="L133">
        <v>608407</v>
      </c>
      <c r="M133">
        <v>50000</v>
      </c>
      <c r="N133" t="s">
        <v>7</v>
      </c>
      <c r="O133">
        <v>645274.81999999995</v>
      </c>
      <c r="P133" t="s">
        <v>61</v>
      </c>
      <c r="Q133" t="s">
        <v>8</v>
      </c>
      <c r="R133">
        <v>128533080</v>
      </c>
      <c r="S133">
        <v>128533080</v>
      </c>
      <c r="T133">
        <v>128533080</v>
      </c>
      <c r="U133" t="s">
        <v>62</v>
      </c>
      <c r="V133" t="s">
        <v>63</v>
      </c>
    </row>
    <row r="134" spans="1:22" x14ac:dyDescent="0.25">
      <c r="A134">
        <v>41451347753</v>
      </c>
      <c r="B134" t="s">
        <v>2</v>
      </c>
      <c r="C134" t="s">
        <v>128</v>
      </c>
      <c r="D134">
        <v>41451347753</v>
      </c>
      <c r="E134" s="1">
        <v>46206.680642743057</v>
      </c>
      <c r="F134">
        <v>115</v>
      </c>
      <c r="G134">
        <v>3</v>
      </c>
      <c r="H134" t="s">
        <v>4</v>
      </c>
      <c r="I134" t="s">
        <v>5</v>
      </c>
      <c r="J134" t="s">
        <v>6</v>
      </c>
      <c r="K134">
        <v>16281625</v>
      </c>
      <c r="L134">
        <v>608407</v>
      </c>
      <c r="M134">
        <v>100000</v>
      </c>
      <c r="N134" t="s">
        <v>7</v>
      </c>
      <c r="O134">
        <v>1290549.53</v>
      </c>
      <c r="P134" t="s">
        <v>61</v>
      </c>
      <c r="Q134" t="s">
        <v>8</v>
      </c>
      <c r="R134">
        <v>128533080</v>
      </c>
      <c r="S134">
        <v>128533080</v>
      </c>
      <c r="T134">
        <v>128533080</v>
      </c>
      <c r="U134" t="s">
        <v>62</v>
      </c>
      <c r="V134" t="s">
        <v>63</v>
      </c>
    </row>
    <row r="135" spans="1:22" x14ac:dyDescent="0.25">
      <c r="A135">
        <v>41450493081</v>
      </c>
      <c r="B135" t="s">
        <v>10</v>
      </c>
      <c r="C135" t="s">
        <v>128</v>
      </c>
      <c r="D135">
        <v>41450493081</v>
      </c>
      <c r="E135" s="1">
        <v>46206.41441636574</v>
      </c>
      <c r="F135">
        <v>115</v>
      </c>
      <c r="G135">
        <v>3</v>
      </c>
      <c r="H135" t="s">
        <v>68</v>
      </c>
      <c r="I135" t="s">
        <v>5</v>
      </c>
      <c r="J135" t="s">
        <v>6</v>
      </c>
      <c r="K135">
        <v>54606</v>
      </c>
      <c r="L135">
        <v>165760</v>
      </c>
      <c r="M135">
        <v>100000</v>
      </c>
      <c r="N135" t="s">
        <v>7</v>
      </c>
      <c r="O135">
        <v>1290549.53</v>
      </c>
      <c r="P135" t="s">
        <v>69</v>
      </c>
      <c r="Q135" t="s">
        <v>8</v>
      </c>
      <c r="R135">
        <v>102909595</v>
      </c>
      <c r="S135">
        <v>102909595</v>
      </c>
      <c r="T135">
        <v>102909595</v>
      </c>
      <c r="U135" t="s">
        <v>70</v>
      </c>
      <c r="V135" t="s">
        <v>9</v>
      </c>
    </row>
    <row r="136" spans="1:22" x14ac:dyDescent="0.25">
      <c r="A136">
        <v>41450496287</v>
      </c>
      <c r="B136" t="s">
        <v>2</v>
      </c>
      <c r="C136" t="s">
        <v>128</v>
      </c>
      <c r="D136">
        <v>41450496287</v>
      </c>
      <c r="E136" s="1">
        <v>46206.415541354167</v>
      </c>
      <c r="F136">
        <v>115</v>
      </c>
      <c r="G136">
        <v>3</v>
      </c>
      <c r="H136" t="s">
        <v>68</v>
      </c>
      <c r="I136" t="s">
        <v>5</v>
      </c>
      <c r="J136" t="s">
        <v>6</v>
      </c>
      <c r="K136">
        <v>54606</v>
      </c>
      <c r="L136">
        <v>165760</v>
      </c>
      <c r="M136">
        <v>25000</v>
      </c>
      <c r="N136" t="s">
        <v>7</v>
      </c>
      <c r="O136">
        <v>322637.40999999997</v>
      </c>
      <c r="P136" t="s">
        <v>69</v>
      </c>
      <c r="Q136" t="s">
        <v>8</v>
      </c>
      <c r="R136">
        <v>102909595</v>
      </c>
      <c r="S136">
        <v>102909595</v>
      </c>
      <c r="T136">
        <v>102909595</v>
      </c>
      <c r="U136" t="s">
        <v>70</v>
      </c>
      <c r="V136" t="s">
        <v>9</v>
      </c>
    </row>
    <row r="137" spans="1:22" x14ac:dyDescent="0.25">
      <c r="A137">
        <v>41455493035</v>
      </c>
      <c r="B137" t="s">
        <v>10</v>
      </c>
      <c r="C137" t="s">
        <v>128</v>
      </c>
      <c r="D137">
        <v>41455493035</v>
      </c>
      <c r="E137" s="1">
        <v>46209.568149166669</v>
      </c>
      <c r="F137">
        <v>115</v>
      </c>
      <c r="G137">
        <v>3</v>
      </c>
      <c r="H137" t="s">
        <v>4</v>
      </c>
      <c r="I137" t="s">
        <v>5</v>
      </c>
      <c r="J137" t="s">
        <v>6</v>
      </c>
      <c r="K137">
        <v>54008774</v>
      </c>
      <c r="L137">
        <v>90643</v>
      </c>
      <c r="M137">
        <v>50000</v>
      </c>
      <c r="N137" t="s">
        <v>7</v>
      </c>
      <c r="O137">
        <v>645274.81999999995</v>
      </c>
      <c r="P137" t="s">
        <v>130</v>
      </c>
      <c r="Q137" t="s">
        <v>8</v>
      </c>
      <c r="R137">
        <v>120919394</v>
      </c>
      <c r="S137">
        <v>120919394</v>
      </c>
      <c r="T137">
        <v>120919394</v>
      </c>
      <c r="U137" t="s">
        <v>131</v>
      </c>
      <c r="V137" t="s">
        <v>9</v>
      </c>
    </row>
    <row r="138" spans="1:22" x14ac:dyDescent="0.25">
      <c r="A138">
        <v>41457595014</v>
      </c>
      <c r="B138" t="s">
        <v>10</v>
      </c>
      <c r="C138" t="s">
        <v>128</v>
      </c>
      <c r="D138">
        <v>41457595014</v>
      </c>
      <c r="E138" s="1">
        <v>46210.705683749999</v>
      </c>
      <c r="F138">
        <v>115</v>
      </c>
      <c r="G138">
        <v>3</v>
      </c>
      <c r="H138" t="s">
        <v>132</v>
      </c>
      <c r="I138" t="s">
        <v>5</v>
      </c>
      <c r="J138" t="s">
        <v>6</v>
      </c>
      <c r="K138">
        <v>14063562</v>
      </c>
      <c r="L138">
        <v>770439</v>
      </c>
      <c r="M138">
        <v>10000</v>
      </c>
      <c r="N138" t="s">
        <v>7</v>
      </c>
      <c r="O138">
        <v>129054.96</v>
      </c>
      <c r="P138" t="s">
        <v>133</v>
      </c>
      <c r="Q138" t="s">
        <v>11</v>
      </c>
      <c r="R138">
        <v>125963512</v>
      </c>
      <c r="S138">
        <v>125963512</v>
      </c>
      <c r="T138">
        <v>125963512</v>
      </c>
      <c r="U138" t="s">
        <v>134</v>
      </c>
      <c r="V138" t="s">
        <v>9</v>
      </c>
    </row>
    <row r="139" spans="1:22" x14ac:dyDescent="0.25">
      <c r="A139">
        <v>41456899665</v>
      </c>
      <c r="B139" t="s">
        <v>10</v>
      </c>
      <c r="C139" t="s">
        <v>128</v>
      </c>
      <c r="D139">
        <v>41456899665</v>
      </c>
      <c r="E139" s="1">
        <v>46210.477408171297</v>
      </c>
      <c r="F139">
        <v>115</v>
      </c>
      <c r="G139">
        <v>3</v>
      </c>
      <c r="H139" t="s">
        <v>4</v>
      </c>
      <c r="I139" t="s">
        <v>5</v>
      </c>
      <c r="J139" t="s">
        <v>6</v>
      </c>
      <c r="K139">
        <v>85532110</v>
      </c>
      <c r="L139">
        <v>608407</v>
      </c>
      <c r="M139">
        <v>55000</v>
      </c>
      <c r="N139" t="s">
        <v>7</v>
      </c>
      <c r="O139">
        <v>709802.3</v>
      </c>
      <c r="P139" t="s">
        <v>111</v>
      </c>
      <c r="Q139" t="s">
        <v>8</v>
      </c>
      <c r="R139">
        <v>123478273</v>
      </c>
      <c r="S139">
        <v>123478273</v>
      </c>
      <c r="T139">
        <v>123478273</v>
      </c>
      <c r="U139" t="s">
        <v>112</v>
      </c>
      <c r="V139" t="s">
        <v>9</v>
      </c>
    </row>
    <row r="140" spans="1:22" x14ac:dyDescent="0.25">
      <c r="A140">
        <v>41459665892</v>
      </c>
      <c r="B140" t="s">
        <v>10</v>
      </c>
      <c r="C140" t="s">
        <v>128</v>
      </c>
      <c r="D140">
        <v>41459665892</v>
      </c>
      <c r="E140" s="1">
        <v>46211.900604907409</v>
      </c>
      <c r="F140">
        <v>115</v>
      </c>
      <c r="G140">
        <v>3</v>
      </c>
      <c r="H140" t="s">
        <v>135</v>
      </c>
      <c r="I140" t="s">
        <v>5</v>
      </c>
      <c r="J140" t="s">
        <v>6</v>
      </c>
      <c r="K140">
        <v>1362320</v>
      </c>
      <c r="L140">
        <v>304067</v>
      </c>
      <c r="M140">
        <v>20000</v>
      </c>
      <c r="N140" t="s">
        <v>7</v>
      </c>
      <c r="O140">
        <v>258109.93</v>
      </c>
      <c r="P140" t="s">
        <v>136</v>
      </c>
      <c r="Q140" t="s">
        <v>8</v>
      </c>
      <c r="R140">
        <v>115716052</v>
      </c>
      <c r="S140">
        <v>115716052</v>
      </c>
      <c r="T140">
        <v>115716052</v>
      </c>
      <c r="U140" t="s">
        <v>137</v>
      </c>
      <c r="V140" t="s">
        <v>138</v>
      </c>
    </row>
    <row r="141" spans="1:22" x14ac:dyDescent="0.25">
      <c r="A141">
        <v>41459674249</v>
      </c>
      <c r="B141" t="s">
        <v>10</v>
      </c>
      <c r="C141" t="s">
        <v>128</v>
      </c>
      <c r="D141">
        <v>41459674249</v>
      </c>
      <c r="E141" s="1">
        <v>46211.905969467596</v>
      </c>
      <c r="F141">
        <v>115</v>
      </c>
      <c r="G141">
        <v>3</v>
      </c>
      <c r="H141" t="s">
        <v>135</v>
      </c>
      <c r="I141" t="s">
        <v>5</v>
      </c>
      <c r="J141" t="s">
        <v>6</v>
      </c>
      <c r="K141">
        <v>1362320</v>
      </c>
      <c r="L141">
        <v>304067</v>
      </c>
      <c r="M141">
        <v>20000</v>
      </c>
      <c r="N141" t="s">
        <v>7</v>
      </c>
      <c r="O141">
        <v>258109.93</v>
      </c>
      <c r="P141" t="s">
        <v>139</v>
      </c>
      <c r="Q141" t="s">
        <v>8</v>
      </c>
      <c r="R141">
        <v>115716052</v>
      </c>
      <c r="S141">
        <v>115716052</v>
      </c>
      <c r="T141">
        <v>115716052</v>
      </c>
      <c r="U141" t="s">
        <v>137</v>
      </c>
      <c r="V141" t="s">
        <v>138</v>
      </c>
    </row>
    <row r="142" spans="1:22" x14ac:dyDescent="0.25">
      <c r="A142">
        <v>41458164138</v>
      </c>
      <c r="B142" t="s">
        <v>10</v>
      </c>
      <c r="C142" t="s">
        <v>128</v>
      </c>
      <c r="D142">
        <v>41458164138</v>
      </c>
      <c r="E142" s="1">
        <v>46211.052859166666</v>
      </c>
      <c r="F142">
        <v>115</v>
      </c>
      <c r="G142">
        <v>3</v>
      </c>
      <c r="H142" t="s">
        <v>140</v>
      </c>
      <c r="I142" t="s">
        <v>5</v>
      </c>
      <c r="J142" t="s">
        <v>6</v>
      </c>
      <c r="K142">
        <v>13389011</v>
      </c>
      <c r="L142">
        <v>50200</v>
      </c>
      <c r="M142">
        <v>35000</v>
      </c>
      <c r="N142" t="s">
        <v>7</v>
      </c>
      <c r="O142">
        <v>451692.37</v>
      </c>
      <c r="P142" t="s">
        <v>141</v>
      </c>
      <c r="Q142" t="s">
        <v>8</v>
      </c>
      <c r="R142">
        <v>125587352</v>
      </c>
      <c r="S142">
        <v>125587352</v>
      </c>
      <c r="T142">
        <v>125587352</v>
      </c>
      <c r="U142" t="s">
        <v>142</v>
      </c>
      <c r="V142" t="s">
        <v>9</v>
      </c>
    </row>
    <row r="143" spans="1:22" x14ac:dyDescent="0.25">
      <c r="A143">
        <v>41458164248</v>
      </c>
      <c r="B143" t="s">
        <v>10</v>
      </c>
      <c r="C143" t="s">
        <v>128</v>
      </c>
      <c r="D143">
        <v>41458164248</v>
      </c>
      <c r="E143" s="1">
        <v>46211.052869004627</v>
      </c>
      <c r="F143">
        <v>115</v>
      </c>
      <c r="G143">
        <v>3</v>
      </c>
      <c r="H143" t="s">
        <v>140</v>
      </c>
      <c r="I143" t="s">
        <v>5</v>
      </c>
      <c r="J143" t="s">
        <v>6</v>
      </c>
      <c r="K143">
        <v>13389011</v>
      </c>
      <c r="L143">
        <v>50200</v>
      </c>
      <c r="M143">
        <v>50000</v>
      </c>
      <c r="N143" t="s">
        <v>7</v>
      </c>
      <c r="O143">
        <v>645274.81999999995</v>
      </c>
      <c r="P143" t="s">
        <v>141</v>
      </c>
      <c r="Q143" t="s">
        <v>8</v>
      </c>
      <c r="R143">
        <v>125587352</v>
      </c>
      <c r="S143">
        <v>125587352</v>
      </c>
      <c r="T143">
        <v>125587352</v>
      </c>
      <c r="U143" t="s">
        <v>142</v>
      </c>
      <c r="V143" t="s">
        <v>9</v>
      </c>
    </row>
    <row r="144" spans="1:22" x14ac:dyDescent="0.25">
      <c r="A144">
        <v>41462839274</v>
      </c>
      <c r="B144" t="s">
        <v>10</v>
      </c>
      <c r="C144" t="s">
        <v>128</v>
      </c>
      <c r="D144">
        <v>41462839274</v>
      </c>
      <c r="E144" s="1">
        <v>46213.784352766204</v>
      </c>
      <c r="F144">
        <v>115</v>
      </c>
      <c r="G144">
        <v>3</v>
      </c>
      <c r="H144" t="s">
        <v>143</v>
      </c>
      <c r="I144" t="s">
        <v>5</v>
      </c>
      <c r="J144" t="s">
        <v>6</v>
      </c>
      <c r="K144">
        <v>10235121</v>
      </c>
      <c r="L144">
        <v>403232</v>
      </c>
      <c r="M144">
        <v>100000</v>
      </c>
      <c r="N144" t="s">
        <v>7</v>
      </c>
      <c r="O144">
        <v>1290549.53</v>
      </c>
      <c r="P144" t="s">
        <v>144</v>
      </c>
      <c r="Q144" t="s">
        <v>8</v>
      </c>
      <c r="R144">
        <v>148525652</v>
      </c>
      <c r="S144">
        <v>148525652</v>
      </c>
      <c r="T144">
        <v>148525652</v>
      </c>
      <c r="U144" t="s">
        <v>145</v>
      </c>
      <c r="V144" t="s">
        <v>9</v>
      </c>
    </row>
    <row r="145" spans="1:22" x14ac:dyDescent="0.25">
      <c r="A145">
        <v>41462835117</v>
      </c>
      <c r="B145" t="s">
        <v>10</v>
      </c>
      <c r="C145" t="s">
        <v>128</v>
      </c>
      <c r="D145">
        <v>41462835117</v>
      </c>
      <c r="E145" s="1">
        <v>46213.782349236113</v>
      </c>
      <c r="F145">
        <v>115</v>
      </c>
      <c r="G145">
        <v>3</v>
      </c>
      <c r="H145" t="s">
        <v>143</v>
      </c>
      <c r="I145" t="s">
        <v>5</v>
      </c>
      <c r="J145" t="s">
        <v>6</v>
      </c>
      <c r="K145">
        <v>10235121</v>
      </c>
      <c r="L145">
        <v>403232</v>
      </c>
      <c r="M145">
        <v>100000</v>
      </c>
      <c r="N145" t="s">
        <v>7</v>
      </c>
      <c r="O145">
        <v>1290549.53</v>
      </c>
      <c r="P145" t="s">
        <v>144</v>
      </c>
      <c r="Q145" t="s">
        <v>8</v>
      </c>
      <c r="R145">
        <v>148525652</v>
      </c>
      <c r="S145">
        <v>148525652</v>
      </c>
      <c r="T145">
        <v>148525652</v>
      </c>
      <c r="U145" t="s">
        <v>145</v>
      </c>
      <c r="V145" t="s">
        <v>9</v>
      </c>
    </row>
    <row r="146" spans="1:22" x14ac:dyDescent="0.25">
      <c r="A146">
        <v>41462850655</v>
      </c>
      <c r="B146" t="s">
        <v>2</v>
      </c>
      <c r="C146" t="s">
        <v>128</v>
      </c>
      <c r="D146">
        <v>41462850655</v>
      </c>
      <c r="E146" s="1">
        <v>46213.789105752316</v>
      </c>
      <c r="F146">
        <v>115</v>
      </c>
      <c r="G146">
        <v>3</v>
      </c>
      <c r="H146" t="s">
        <v>143</v>
      </c>
      <c r="I146" t="s">
        <v>5</v>
      </c>
      <c r="J146" t="s">
        <v>6</v>
      </c>
      <c r="K146">
        <v>10235121</v>
      </c>
      <c r="L146">
        <v>403232</v>
      </c>
      <c r="M146">
        <v>80000</v>
      </c>
      <c r="N146" t="s">
        <v>7</v>
      </c>
      <c r="O146">
        <v>1032439.7</v>
      </c>
      <c r="P146" t="s">
        <v>144</v>
      </c>
      <c r="Q146" t="s">
        <v>8</v>
      </c>
      <c r="R146">
        <v>148525652</v>
      </c>
      <c r="S146">
        <v>148525652</v>
      </c>
      <c r="T146">
        <v>148525652</v>
      </c>
      <c r="U146" t="s">
        <v>145</v>
      </c>
      <c r="V146" t="s">
        <v>9</v>
      </c>
    </row>
    <row r="147" spans="1:22" x14ac:dyDescent="0.25">
      <c r="A147">
        <v>41463606609</v>
      </c>
      <c r="B147" t="s">
        <v>2</v>
      </c>
      <c r="C147" t="s">
        <v>128</v>
      </c>
      <c r="D147">
        <v>41463606609</v>
      </c>
      <c r="E147" s="1">
        <v>46214.506083831016</v>
      </c>
      <c r="F147">
        <v>115</v>
      </c>
      <c r="G147">
        <v>3</v>
      </c>
      <c r="H147" t="s">
        <v>16</v>
      </c>
      <c r="I147" t="s">
        <v>5</v>
      </c>
      <c r="J147" t="s">
        <v>6</v>
      </c>
      <c r="K147">
        <v>57317232</v>
      </c>
      <c r="L147">
        <v>555010</v>
      </c>
      <c r="M147">
        <v>100000</v>
      </c>
      <c r="N147" t="s">
        <v>7</v>
      </c>
      <c r="O147">
        <v>1290549.53</v>
      </c>
      <c r="P147" t="s">
        <v>17</v>
      </c>
      <c r="Q147" t="s">
        <v>8</v>
      </c>
      <c r="R147">
        <v>146573514</v>
      </c>
      <c r="S147">
        <v>146573514</v>
      </c>
      <c r="T147">
        <v>146573514</v>
      </c>
      <c r="U147" t="s">
        <v>18</v>
      </c>
      <c r="V147" t="s">
        <v>15</v>
      </c>
    </row>
    <row r="148" spans="1:22" x14ac:dyDescent="0.25">
      <c r="A148">
        <v>41463610727</v>
      </c>
      <c r="B148" t="s">
        <v>2</v>
      </c>
      <c r="C148" t="s">
        <v>128</v>
      </c>
      <c r="D148">
        <v>41463610727</v>
      </c>
      <c r="E148" s="1">
        <v>46214.50736797454</v>
      </c>
      <c r="F148">
        <v>115</v>
      </c>
      <c r="G148">
        <v>3</v>
      </c>
      <c r="H148" t="s">
        <v>19</v>
      </c>
      <c r="I148" t="s">
        <v>5</v>
      </c>
      <c r="J148" t="s">
        <v>6</v>
      </c>
      <c r="K148">
        <v>51396080</v>
      </c>
      <c r="L148">
        <v>404031</v>
      </c>
      <c r="M148">
        <v>95000</v>
      </c>
      <c r="N148" t="s">
        <v>7</v>
      </c>
      <c r="O148">
        <v>1226022.05</v>
      </c>
      <c r="P148" t="s">
        <v>17</v>
      </c>
      <c r="Q148" t="s">
        <v>8</v>
      </c>
      <c r="R148">
        <v>146573514</v>
      </c>
      <c r="S148">
        <v>146573514</v>
      </c>
      <c r="T148">
        <v>146573514</v>
      </c>
      <c r="U148" t="s">
        <v>18</v>
      </c>
      <c r="V148" t="s">
        <v>15</v>
      </c>
    </row>
    <row r="149" spans="1:22" x14ac:dyDescent="0.25">
      <c r="A149">
        <v>41466468310</v>
      </c>
      <c r="B149" t="s">
        <v>10</v>
      </c>
      <c r="C149" t="s">
        <v>128</v>
      </c>
      <c r="D149">
        <v>41466468310</v>
      </c>
      <c r="E149" s="1">
        <v>46216.561366215275</v>
      </c>
      <c r="F149">
        <v>115</v>
      </c>
      <c r="G149">
        <v>3</v>
      </c>
      <c r="H149" t="s">
        <v>49</v>
      </c>
      <c r="I149" t="s">
        <v>5</v>
      </c>
      <c r="J149" t="s">
        <v>6</v>
      </c>
      <c r="K149">
        <v>58219401</v>
      </c>
      <c r="L149">
        <v>230580</v>
      </c>
      <c r="M149">
        <v>41000</v>
      </c>
      <c r="N149" t="s">
        <v>7</v>
      </c>
      <c r="O149">
        <v>529125.35</v>
      </c>
      <c r="P149" t="s">
        <v>86</v>
      </c>
      <c r="Q149" t="s">
        <v>8</v>
      </c>
      <c r="R149">
        <v>135057461</v>
      </c>
      <c r="S149">
        <v>135057461</v>
      </c>
      <c r="T149">
        <v>135057461</v>
      </c>
      <c r="U149" t="s">
        <v>87</v>
      </c>
      <c r="V149" t="s">
        <v>15</v>
      </c>
    </row>
    <row r="150" spans="1:22" x14ac:dyDescent="0.25">
      <c r="A150">
        <v>41474001223</v>
      </c>
      <c r="B150" t="s">
        <v>106</v>
      </c>
      <c r="C150" t="s">
        <v>128</v>
      </c>
      <c r="D150">
        <v>41474001223</v>
      </c>
      <c r="E150" s="1">
        <v>46220.782353946757</v>
      </c>
      <c r="F150">
        <v>69</v>
      </c>
      <c r="G150">
        <v>3</v>
      </c>
      <c r="H150" t="s">
        <v>91</v>
      </c>
      <c r="I150" t="s">
        <v>5</v>
      </c>
      <c r="J150" t="s">
        <v>6</v>
      </c>
      <c r="K150">
        <v>10030747</v>
      </c>
      <c r="L150">
        <v>161923</v>
      </c>
      <c r="M150">
        <v>250000</v>
      </c>
      <c r="N150" t="s">
        <v>7</v>
      </c>
      <c r="O150">
        <v>3226373.98</v>
      </c>
      <c r="P150" t="s">
        <v>146</v>
      </c>
      <c r="Q150" t="s">
        <v>8</v>
      </c>
      <c r="R150">
        <v>107560732</v>
      </c>
      <c r="S150">
        <v>107560732</v>
      </c>
      <c r="T150">
        <v>107560732</v>
      </c>
      <c r="U150" t="s">
        <v>93</v>
      </c>
      <c r="V150" t="s">
        <v>9</v>
      </c>
    </row>
    <row r="151" spans="1:22" x14ac:dyDescent="0.25">
      <c r="A151">
        <v>41473841513</v>
      </c>
      <c r="B151" t="s">
        <v>10</v>
      </c>
      <c r="C151" t="s">
        <v>128</v>
      </c>
      <c r="D151">
        <v>41473841513</v>
      </c>
      <c r="E151" s="1">
        <v>46220.716874965277</v>
      </c>
      <c r="F151">
        <v>115</v>
      </c>
      <c r="G151">
        <v>3</v>
      </c>
      <c r="H151" t="s">
        <v>4</v>
      </c>
      <c r="I151" t="s">
        <v>5</v>
      </c>
      <c r="J151" t="s">
        <v>6</v>
      </c>
      <c r="K151">
        <v>24040801</v>
      </c>
      <c r="L151">
        <v>40605</v>
      </c>
      <c r="M151">
        <v>13329.74</v>
      </c>
      <c r="N151" t="s">
        <v>7</v>
      </c>
      <c r="O151">
        <v>172026.88</v>
      </c>
      <c r="P151" t="s">
        <v>147</v>
      </c>
      <c r="Q151" t="s">
        <v>8</v>
      </c>
      <c r="R151">
        <v>128132131</v>
      </c>
      <c r="S151">
        <v>128132131</v>
      </c>
      <c r="T151">
        <v>128132131</v>
      </c>
      <c r="U151" t="s">
        <v>148</v>
      </c>
      <c r="V151" t="s">
        <v>9</v>
      </c>
    </row>
    <row r="152" spans="1:22" x14ac:dyDescent="0.25">
      <c r="A152">
        <v>41480028554</v>
      </c>
      <c r="B152" t="s">
        <v>10</v>
      </c>
      <c r="C152" t="s">
        <v>128</v>
      </c>
      <c r="D152">
        <v>41480028554</v>
      </c>
      <c r="E152" s="1">
        <v>46224.750596863429</v>
      </c>
      <c r="F152">
        <v>115</v>
      </c>
      <c r="G152">
        <v>3</v>
      </c>
      <c r="H152" t="s">
        <v>4</v>
      </c>
      <c r="I152" t="s">
        <v>5</v>
      </c>
      <c r="J152" t="s">
        <v>6</v>
      </c>
      <c r="K152">
        <v>58200138</v>
      </c>
      <c r="L152">
        <v>608407</v>
      </c>
      <c r="M152">
        <v>50000</v>
      </c>
      <c r="N152" t="s">
        <v>7</v>
      </c>
      <c r="O152">
        <v>649241.99</v>
      </c>
      <c r="P152" t="s">
        <v>100</v>
      </c>
      <c r="Q152" t="s">
        <v>8</v>
      </c>
      <c r="R152">
        <v>105353056</v>
      </c>
      <c r="S152">
        <v>105353056</v>
      </c>
      <c r="T152">
        <v>105353056</v>
      </c>
      <c r="U152" t="s">
        <v>101</v>
      </c>
      <c r="V152" t="s">
        <v>9</v>
      </c>
    </row>
    <row r="153" spans="1:22" x14ac:dyDescent="0.25">
      <c r="A153">
        <v>41483254891</v>
      </c>
      <c r="B153" t="s">
        <v>10</v>
      </c>
      <c r="C153" t="s">
        <v>128</v>
      </c>
      <c r="D153">
        <v>41483254891</v>
      </c>
      <c r="E153" s="1">
        <v>46226.731042407409</v>
      </c>
      <c r="F153">
        <v>115</v>
      </c>
      <c r="G153">
        <v>3</v>
      </c>
      <c r="H153" t="s">
        <v>4</v>
      </c>
      <c r="I153" t="s">
        <v>5</v>
      </c>
      <c r="J153" t="s">
        <v>6</v>
      </c>
      <c r="K153">
        <v>73114139</v>
      </c>
      <c r="L153">
        <v>406437</v>
      </c>
      <c r="M153">
        <v>100000</v>
      </c>
      <c r="N153" t="s">
        <v>7</v>
      </c>
      <c r="O153">
        <v>1298483.98</v>
      </c>
      <c r="P153" t="s">
        <v>36</v>
      </c>
      <c r="Q153" t="s">
        <v>8</v>
      </c>
      <c r="R153">
        <v>119228773</v>
      </c>
      <c r="S153">
        <v>119228773</v>
      </c>
      <c r="T153">
        <v>119228773</v>
      </c>
      <c r="U153" t="s">
        <v>37</v>
      </c>
      <c r="V153" t="s">
        <v>15</v>
      </c>
    </row>
    <row r="154" spans="1:22" x14ac:dyDescent="0.25">
      <c r="A154">
        <v>41483063386</v>
      </c>
      <c r="B154" t="s">
        <v>2</v>
      </c>
      <c r="C154" t="s">
        <v>128</v>
      </c>
      <c r="D154">
        <v>41483063386</v>
      </c>
      <c r="E154" s="1">
        <v>46226.662101180555</v>
      </c>
      <c r="F154">
        <v>115</v>
      </c>
      <c r="G154">
        <v>3</v>
      </c>
      <c r="H154" t="s">
        <v>4</v>
      </c>
      <c r="I154" t="s">
        <v>5</v>
      </c>
      <c r="J154" t="s">
        <v>6</v>
      </c>
      <c r="K154">
        <v>83372888</v>
      </c>
      <c r="L154">
        <v>608407</v>
      </c>
      <c r="M154">
        <v>80000</v>
      </c>
      <c r="N154" t="s">
        <v>7</v>
      </c>
      <c r="O154">
        <v>1038787.21</v>
      </c>
      <c r="P154" t="s">
        <v>38</v>
      </c>
      <c r="Q154" t="s">
        <v>8</v>
      </c>
      <c r="R154">
        <v>122720485</v>
      </c>
      <c r="S154">
        <v>122720485</v>
      </c>
      <c r="T154">
        <v>122720485</v>
      </c>
      <c r="U154" t="s">
        <v>39</v>
      </c>
      <c r="V154" t="s">
        <v>9</v>
      </c>
    </row>
    <row r="155" spans="1:22" x14ac:dyDescent="0.25">
      <c r="A155">
        <v>41482548652</v>
      </c>
      <c r="B155" t="s">
        <v>10</v>
      </c>
      <c r="C155" t="s">
        <v>128</v>
      </c>
      <c r="D155">
        <v>41482548652</v>
      </c>
      <c r="E155" s="1">
        <v>46226.492796134262</v>
      </c>
      <c r="F155">
        <v>115</v>
      </c>
      <c r="G155">
        <v>3</v>
      </c>
      <c r="H155" t="s">
        <v>20</v>
      </c>
      <c r="I155" t="s">
        <v>5</v>
      </c>
      <c r="J155" t="s">
        <v>6</v>
      </c>
      <c r="K155">
        <v>13139066</v>
      </c>
      <c r="L155">
        <v>804887</v>
      </c>
      <c r="M155">
        <v>90000</v>
      </c>
      <c r="N155" t="s">
        <v>7</v>
      </c>
      <c r="O155">
        <v>1168635.6399999999</v>
      </c>
      <c r="P155" t="s">
        <v>21</v>
      </c>
      <c r="Q155" t="s">
        <v>8</v>
      </c>
      <c r="R155">
        <v>135198109</v>
      </c>
      <c r="S155">
        <v>135198109</v>
      </c>
      <c r="T155">
        <v>135198109</v>
      </c>
      <c r="U155" t="s">
        <v>22</v>
      </c>
      <c r="V155" t="s">
        <v>15</v>
      </c>
    </row>
    <row r="156" spans="1:22" x14ac:dyDescent="0.25">
      <c r="A156">
        <v>41486213067</v>
      </c>
      <c r="B156" t="s">
        <v>2</v>
      </c>
      <c r="C156" t="s">
        <v>128</v>
      </c>
      <c r="D156">
        <v>41486213067</v>
      </c>
      <c r="E156" s="1">
        <v>46227.852821099536</v>
      </c>
      <c r="F156">
        <v>115</v>
      </c>
      <c r="G156">
        <v>3</v>
      </c>
      <c r="H156" t="s">
        <v>4</v>
      </c>
      <c r="I156" t="s">
        <v>5</v>
      </c>
      <c r="J156" t="s">
        <v>6</v>
      </c>
      <c r="K156">
        <v>26180505</v>
      </c>
      <c r="L156">
        <v>608407</v>
      </c>
      <c r="M156">
        <v>100000</v>
      </c>
      <c r="N156" t="s">
        <v>7</v>
      </c>
      <c r="O156">
        <v>1298483.98</v>
      </c>
      <c r="P156" t="s">
        <v>216</v>
      </c>
      <c r="Q156" t="s">
        <v>8</v>
      </c>
      <c r="R156">
        <v>126118058</v>
      </c>
      <c r="S156">
        <v>126118058</v>
      </c>
      <c r="T156">
        <v>126118058</v>
      </c>
      <c r="U156" t="s">
        <v>264</v>
      </c>
      <c r="V156" t="s">
        <v>15</v>
      </c>
    </row>
    <row r="157" spans="1:22" x14ac:dyDescent="0.25">
      <c r="A157">
        <v>41486224304</v>
      </c>
      <c r="B157" t="s">
        <v>2</v>
      </c>
      <c r="C157" t="s">
        <v>128</v>
      </c>
      <c r="D157">
        <v>41486224304</v>
      </c>
      <c r="E157" s="1">
        <v>46227.857881863427</v>
      </c>
      <c r="F157">
        <v>115</v>
      </c>
      <c r="G157">
        <v>3</v>
      </c>
      <c r="H157" t="s">
        <v>4</v>
      </c>
      <c r="I157" t="s">
        <v>5</v>
      </c>
      <c r="J157" t="s">
        <v>6</v>
      </c>
      <c r="K157">
        <v>26180505</v>
      </c>
      <c r="L157">
        <v>608407</v>
      </c>
      <c r="M157">
        <v>100000</v>
      </c>
      <c r="N157" t="s">
        <v>7</v>
      </c>
      <c r="O157">
        <v>1298483.98</v>
      </c>
      <c r="P157" t="s">
        <v>265</v>
      </c>
      <c r="Q157" t="s">
        <v>8</v>
      </c>
      <c r="R157">
        <v>126118058</v>
      </c>
      <c r="S157">
        <v>126118058</v>
      </c>
      <c r="T157">
        <v>126118058</v>
      </c>
      <c r="U157" t="s">
        <v>264</v>
      </c>
      <c r="V157" t="s">
        <v>15</v>
      </c>
    </row>
    <row r="158" spans="1:22" x14ac:dyDescent="0.25">
      <c r="A158">
        <v>41486220957</v>
      </c>
      <c r="B158" t="s">
        <v>2</v>
      </c>
      <c r="C158" t="s">
        <v>128</v>
      </c>
      <c r="D158">
        <v>41486220957</v>
      </c>
      <c r="E158" s="1">
        <v>46227.856335497687</v>
      </c>
      <c r="F158">
        <v>115</v>
      </c>
      <c r="G158">
        <v>3</v>
      </c>
      <c r="H158" t="s">
        <v>4</v>
      </c>
      <c r="I158" t="s">
        <v>5</v>
      </c>
      <c r="J158" t="s">
        <v>6</v>
      </c>
      <c r="K158">
        <v>26180505</v>
      </c>
      <c r="L158">
        <v>608407</v>
      </c>
      <c r="M158">
        <v>100000</v>
      </c>
      <c r="N158" t="s">
        <v>7</v>
      </c>
      <c r="O158">
        <v>1298483.98</v>
      </c>
      <c r="P158" t="s">
        <v>265</v>
      </c>
      <c r="Q158" t="s">
        <v>8</v>
      </c>
      <c r="R158">
        <v>126118058</v>
      </c>
      <c r="S158">
        <v>126118058</v>
      </c>
      <c r="T158">
        <v>126118058</v>
      </c>
      <c r="U158" t="s">
        <v>264</v>
      </c>
      <c r="V158" t="s">
        <v>15</v>
      </c>
    </row>
    <row r="159" spans="1:22" x14ac:dyDescent="0.25">
      <c r="A159">
        <v>41486216916</v>
      </c>
      <c r="B159" t="s">
        <v>2</v>
      </c>
      <c r="C159" t="s">
        <v>128</v>
      </c>
      <c r="D159">
        <v>41486216916</v>
      </c>
      <c r="E159" s="1">
        <v>46227.854579432867</v>
      </c>
      <c r="F159">
        <v>115</v>
      </c>
      <c r="G159">
        <v>3</v>
      </c>
      <c r="H159" t="s">
        <v>4</v>
      </c>
      <c r="I159" t="s">
        <v>5</v>
      </c>
      <c r="J159" t="s">
        <v>6</v>
      </c>
      <c r="K159">
        <v>26180505</v>
      </c>
      <c r="L159">
        <v>608407</v>
      </c>
      <c r="M159">
        <v>100000</v>
      </c>
      <c r="N159" t="s">
        <v>7</v>
      </c>
      <c r="O159">
        <v>1298483.98</v>
      </c>
      <c r="P159" t="s">
        <v>216</v>
      </c>
      <c r="Q159" t="s">
        <v>8</v>
      </c>
      <c r="R159">
        <v>126118058</v>
      </c>
      <c r="S159">
        <v>126118058</v>
      </c>
      <c r="T159">
        <v>126118058</v>
      </c>
      <c r="U159" t="s">
        <v>264</v>
      </c>
      <c r="V159" t="s">
        <v>15</v>
      </c>
    </row>
    <row r="160" spans="1:22" x14ac:dyDescent="0.25">
      <c r="A160">
        <v>41492391683</v>
      </c>
      <c r="B160" t="s">
        <v>10</v>
      </c>
      <c r="C160" t="s">
        <v>128</v>
      </c>
      <c r="D160">
        <v>41492391683</v>
      </c>
      <c r="E160" s="1">
        <v>46231.455869675927</v>
      </c>
      <c r="F160">
        <v>115</v>
      </c>
      <c r="G160">
        <v>3</v>
      </c>
      <c r="H160" t="s">
        <v>4</v>
      </c>
      <c r="I160" t="s">
        <v>5</v>
      </c>
      <c r="J160" t="s">
        <v>6</v>
      </c>
      <c r="K160">
        <v>43255473</v>
      </c>
      <c r="L160">
        <v>608407</v>
      </c>
      <c r="M160">
        <v>25000</v>
      </c>
      <c r="N160" t="s">
        <v>7</v>
      </c>
      <c r="O160">
        <v>324621</v>
      </c>
      <c r="P160" t="s">
        <v>323</v>
      </c>
      <c r="Q160" t="s">
        <v>8</v>
      </c>
      <c r="R160">
        <v>115377780</v>
      </c>
      <c r="S160">
        <v>115377780</v>
      </c>
      <c r="T160">
        <v>115377780</v>
      </c>
      <c r="U160" t="s">
        <v>324</v>
      </c>
      <c r="V160" t="s">
        <v>15</v>
      </c>
    </row>
    <row r="161" spans="1:22" x14ac:dyDescent="0.25">
      <c r="A161">
        <v>41492007964</v>
      </c>
      <c r="B161" t="s">
        <v>10</v>
      </c>
      <c r="C161" t="s">
        <v>128</v>
      </c>
      <c r="D161">
        <v>41492007964</v>
      </c>
      <c r="E161" s="1">
        <v>46231.063751134257</v>
      </c>
      <c r="F161">
        <v>115</v>
      </c>
      <c r="G161">
        <v>3</v>
      </c>
      <c r="H161" t="s">
        <v>325</v>
      </c>
      <c r="I161" t="s">
        <v>5</v>
      </c>
      <c r="J161" t="s">
        <v>6</v>
      </c>
      <c r="K161">
        <v>31512617</v>
      </c>
      <c r="L161">
        <v>401903</v>
      </c>
      <c r="M161">
        <v>10000</v>
      </c>
      <c r="N161" t="s">
        <v>7</v>
      </c>
      <c r="O161">
        <v>129848.44</v>
      </c>
      <c r="P161" t="s">
        <v>326</v>
      </c>
      <c r="Q161" t="s">
        <v>8</v>
      </c>
      <c r="R161">
        <v>106494933</v>
      </c>
      <c r="S161">
        <v>106494933</v>
      </c>
      <c r="T161">
        <v>106494933</v>
      </c>
      <c r="U161" t="s">
        <v>327</v>
      </c>
      <c r="V161" t="s">
        <v>9</v>
      </c>
    </row>
    <row r="162" spans="1:22" x14ac:dyDescent="0.25">
      <c r="A162">
        <v>41497065241</v>
      </c>
      <c r="B162" t="s">
        <v>10</v>
      </c>
      <c r="C162" t="s">
        <v>128</v>
      </c>
      <c r="D162">
        <v>41497065241</v>
      </c>
      <c r="E162" s="1">
        <v>46233.851045023148</v>
      </c>
      <c r="F162">
        <v>115</v>
      </c>
      <c r="G162">
        <v>3</v>
      </c>
      <c r="H162" t="s">
        <v>4</v>
      </c>
      <c r="I162" t="s">
        <v>5</v>
      </c>
      <c r="J162" t="s">
        <v>6</v>
      </c>
      <c r="K162">
        <v>73002616</v>
      </c>
      <c r="L162">
        <v>206155</v>
      </c>
      <c r="M162">
        <v>14644.06</v>
      </c>
      <c r="N162" t="s">
        <v>7</v>
      </c>
      <c r="O162">
        <v>190150.8</v>
      </c>
      <c r="P162" t="s">
        <v>266</v>
      </c>
      <c r="Q162" t="s">
        <v>8</v>
      </c>
      <c r="R162">
        <v>147888564</v>
      </c>
      <c r="S162">
        <v>125780189</v>
      </c>
      <c r="T162">
        <v>147888564</v>
      </c>
      <c r="U162" t="s">
        <v>267</v>
      </c>
      <c r="V162" t="s">
        <v>15</v>
      </c>
    </row>
    <row r="163" spans="1:22" x14ac:dyDescent="0.25">
      <c r="A163">
        <v>41499878714</v>
      </c>
      <c r="B163" t="s">
        <v>10</v>
      </c>
      <c r="C163" t="s">
        <v>128</v>
      </c>
      <c r="D163">
        <v>41499878714</v>
      </c>
      <c r="E163" s="1">
        <v>46235.681359004629</v>
      </c>
      <c r="F163">
        <v>115</v>
      </c>
      <c r="G163">
        <v>3</v>
      </c>
      <c r="H163" t="s">
        <v>4</v>
      </c>
      <c r="I163" t="s">
        <v>5</v>
      </c>
      <c r="J163" t="s">
        <v>6</v>
      </c>
      <c r="K163">
        <v>10475655</v>
      </c>
      <c r="L163">
        <v>40831</v>
      </c>
      <c r="M163">
        <v>50000</v>
      </c>
      <c r="N163" t="s">
        <v>7</v>
      </c>
      <c r="O163">
        <v>649241.99</v>
      </c>
      <c r="P163" t="s">
        <v>300</v>
      </c>
      <c r="Q163" t="s">
        <v>8</v>
      </c>
      <c r="R163">
        <v>105779995</v>
      </c>
      <c r="S163">
        <v>105779995</v>
      </c>
      <c r="T163">
        <v>105779995</v>
      </c>
      <c r="U163" t="s">
        <v>301</v>
      </c>
      <c r="V163" t="s">
        <v>9</v>
      </c>
    </row>
    <row r="164" spans="1:22" x14ac:dyDescent="0.25">
      <c r="A164">
        <v>41501265441</v>
      </c>
      <c r="B164" t="s">
        <v>2</v>
      </c>
      <c r="C164" t="s">
        <v>128</v>
      </c>
      <c r="D164">
        <v>41501265441</v>
      </c>
      <c r="E164" s="1">
        <v>46236.717546967593</v>
      </c>
      <c r="F164">
        <v>115</v>
      </c>
      <c r="G164">
        <v>3</v>
      </c>
      <c r="H164" t="s">
        <v>143</v>
      </c>
      <c r="I164" t="s">
        <v>5</v>
      </c>
      <c r="J164" t="s">
        <v>6</v>
      </c>
      <c r="K164">
        <v>25574811</v>
      </c>
      <c r="L164">
        <v>403232</v>
      </c>
      <c r="M164">
        <v>10000</v>
      </c>
      <c r="N164" t="s">
        <v>7</v>
      </c>
      <c r="O164">
        <v>129848.44</v>
      </c>
      <c r="P164" t="s">
        <v>328</v>
      </c>
      <c r="Q164" t="s">
        <v>11</v>
      </c>
      <c r="R164">
        <v>147009427</v>
      </c>
      <c r="S164">
        <v>147009427</v>
      </c>
      <c r="T164">
        <v>147009427</v>
      </c>
      <c r="U164" t="s">
        <v>329</v>
      </c>
      <c r="V164" t="s">
        <v>9</v>
      </c>
    </row>
    <row r="165" spans="1:22" x14ac:dyDescent="0.25">
      <c r="A165">
        <v>41502365582</v>
      </c>
      <c r="B165" t="s">
        <v>10</v>
      </c>
      <c r="C165" t="s">
        <v>128</v>
      </c>
      <c r="D165">
        <v>41502365582</v>
      </c>
      <c r="E165" s="1">
        <v>46237.546154699077</v>
      </c>
      <c r="F165">
        <v>115</v>
      </c>
      <c r="G165">
        <v>3</v>
      </c>
      <c r="H165" t="s">
        <v>4</v>
      </c>
      <c r="I165" t="s">
        <v>5</v>
      </c>
      <c r="J165" t="s">
        <v>6</v>
      </c>
      <c r="K165">
        <v>3649830</v>
      </c>
      <c r="L165">
        <v>203775</v>
      </c>
      <c r="M165">
        <v>100000</v>
      </c>
      <c r="N165" t="s">
        <v>7</v>
      </c>
      <c r="O165">
        <v>1298483.98</v>
      </c>
      <c r="P165" t="s">
        <v>330</v>
      </c>
      <c r="Q165" t="s">
        <v>8</v>
      </c>
      <c r="R165">
        <v>124780263</v>
      </c>
      <c r="S165">
        <v>124780263</v>
      </c>
      <c r="T165">
        <v>124780263</v>
      </c>
      <c r="U165" t="s">
        <v>331</v>
      </c>
      <c r="V165" t="s">
        <v>15</v>
      </c>
    </row>
    <row r="166" spans="1:22" x14ac:dyDescent="0.25">
      <c r="A166">
        <v>41504635203</v>
      </c>
      <c r="B166" t="s">
        <v>2</v>
      </c>
      <c r="C166" t="s">
        <v>128</v>
      </c>
      <c r="D166">
        <v>41504635203</v>
      </c>
      <c r="E166" s="1">
        <v>46238.797782303242</v>
      </c>
      <c r="F166">
        <v>115</v>
      </c>
      <c r="G166">
        <v>3</v>
      </c>
      <c r="H166" t="s">
        <v>332</v>
      </c>
      <c r="I166" t="s">
        <v>5</v>
      </c>
      <c r="J166" t="s">
        <v>6</v>
      </c>
      <c r="K166">
        <v>12470709</v>
      </c>
      <c r="L166">
        <v>608371</v>
      </c>
      <c r="M166">
        <v>18000</v>
      </c>
      <c r="N166" t="s">
        <v>7</v>
      </c>
      <c r="O166">
        <v>233727.09</v>
      </c>
      <c r="P166" t="s">
        <v>333</v>
      </c>
      <c r="Q166" t="s">
        <v>8</v>
      </c>
      <c r="R166">
        <v>128324746</v>
      </c>
      <c r="S166">
        <v>128324746</v>
      </c>
      <c r="T166">
        <v>128324746</v>
      </c>
      <c r="U166" t="s">
        <v>334</v>
      </c>
      <c r="V166" t="s">
        <v>335</v>
      </c>
    </row>
    <row r="167" spans="1:22" x14ac:dyDescent="0.25">
      <c r="A167">
        <v>41506176989</v>
      </c>
      <c r="B167" t="s">
        <v>10</v>
      </c>
      <c r="C167" t="s">
        <v>128</v>
      </c>
      <c r="D167">
        <v>41506176989</v>
      </c>
      <c r="E167" s="1">
        <v>46239.802213900461</v>
      </c>
      <c r="F167">
        <v>115</v>
      </c>
      <c r="G167">
        <v>3</v>
      </c>
      <c r="H167" t="s">
        <v>311</v>
      </c>
      <c r="I167" t="s">
        <v>5</v>
      </c>
      <c r="J167" t="s">
        <v>6</v>
      </c>
      <c r="K167">
        <v>80166232</v>
      </c>
      <c r="L167">
        <v>159900</v>
      </c>
      <c r="M167">
        <v>100000</v>
      </c>
      <c r="N167" t="s">
        <v>7</v>
      </c>
      <c r="O167">
        <v>1298483.98</v>
      </c>
      <c r="P167" t="s">
        <v>45</v>
      </c>
      <c r="Q167" t="s">
        <v>8</v>
      </c>
      <c r="R167">
        <v>107953069</v>
      </c>
      <c r="S167">
        <v>107953069</v>
      </c>
      <c r="T167">
        <v>107953069</v>
      </c>
      <c r="U167" t="s">
        <v>312</v>
      </c>
      <c r="V167" t="s">
        <v>15</v>
      </c>
    </row>
    <row r="168" spans="1:22" x14ac:dyDescent="0.25">
      <c r="A168">
        <v>41507542452</v>
      </c>
      <c r="B168" t="s">
        <v>2</v>
      </c>
      <c r="C168" t="s">
        <v>128</v>
      </c>
      <c r="D168">
        <v>41507542452</v>
      </c>
      <c r="E168" s="1">
        <v>46240.723994270833</v>
      </c>
      <c r="F168">
        <v>115</v>
      </c>
      <c r="G168">
        <v>3</v>
      </c>
      <c r="H168" t="s">
        <v>4</v>
      </c>
      <c r="I168" t="s">
        <v>5</v>
      </c>
      <c r="J168" t="s">
        <v>6</v>
      </c>
      <c r="K168">
        <v>83770192</v>
      </c>
      <c r="L168">
        <v>203964</v>
      </c>
      <c r="M168">
        <v>99000</v>
      </c>
      <c r="N168" t="s">
        <v>7</v>
      </c>
      <c r="O168">
        <v>1285499.1399999999</v>
      </c>
      <c r="P168" t="s">
        <v>275</v>
      </c>
      <c r="Q168" t="s">
        <v>8</v>
      </c>
      <c r="R168">
        <v>111831293</v>
      </c>
      <c r="S168">
        <v>111831293</v>
      </c>
      <c r="T168">
        <v>111831293</v>
      </c>
      <c r="U168" t="s">
        <v>276</v>
      </c>
      <c r="V168" t="s">
        <v>9</v>
      </c>
    </row>
    <row r="169" spans="1:22" x14ac:dyDescent="0.25">
      <c r="A169">
        <v>41507370412</v>
      </c>
      <c r="B169" t="s">
        <v>10</v>
      </c>
      <c r="C169" t="s">
        <v>128</v>
      </c>
      <c r="D169">
        <v>41507370412</v>
      </c>
      <c r="E169" s="1">
        <v>46240.658783715277</v>
      </c>
      <c r="F169">
        <v>69</v>
      </c>
      <c r="G169">
        <v>3</v>
      </c>
      <c r="H169" t="s">
        <v>336</v>
      </c>
      <c r="I169" t="s">
        <v>5</v>
      </c>
      <c r="J169" t="s">
        <v>6</v>
      </c>
      <c r="K169">
        <v>94457662</v>
      </c>
      <c r="L169">
        <v>10541</v>
      </c>
      <c r="M169">
        <v>131250</v>
      </c>
      <c r="N169" t="s">
        <v>7</v>
      </c>
      <c r="O169">
        <v>1704260.23</v>
      </c>
      <c r="P169" t="s">
        <v>337</v>
      </c>
      <c r="Q169" t="s">
        <v>8</v>
      </c>
      <c r="R169">
        <v>103220075</v>
      </c>
      <c r="S169">
        <v>103220075</v>
      </c>
      <c r="T169">
        <v>103220075</v>
      </c>
      <c r="U169" t="s">
        <v>338</v>
      </c>
      <c r="V169" t="s">
        <v>9</v>
      </c>
    </row>
    <row r="170" spans="1:22" x14ac:dyDescent="0.25">
      <c r="A170">
        <v>41509375121</v>
      </c>
      <c r="B170" t="s">
        <v>2</v>
      </c>
      <c r="C170" t="s">
        <v>128</v>
      </c>
      <c r="D170">
        <v>41509375121</v>
      </c>
      <c r="E170" s="1">
        <v>46241.82651215278</v>
      </c>
      <c r="F170">
        <v>115</v>
      </c>
      <c r="G170">
        <v>3</v>
      </c>
      <c r="H170" t="s">
        <v>4</v>
      </c>
      <c r="I170" t="s">
        <v>5</v>
      </c>
      <c r="J170" t="s">
        <v>6</v>
      </c>
      <c r="K170">
        <v>93108627</v>
      </c>
      <c r="L170">
        <v>206518</v>
      </c>
      <c r="M170">
        <v>30000</v>
      </c>
      <c r="N170" t="s">
        <v>7</v>
      </c>
      <c r="O170">
        <v>389545.21</v>
      </c>
      <c r="P170" t="s">
        <v>339</v>
      </c>
      <c r="Q170" t="s">
        <v>8</v>
      </c>
      <c r="R170">
        <v>110890316</v>
      </c>
      <c r="S170">
        <v>110890316</v>
      </c>
      <c r="T170">
        <v>110890316</v>
      </c>
      <c r="U170" t="s">
        <v>340</v>
      </c>
      <c r="V170" t="s">
        <v>9</v>
      </c>
    </row>
    <row r="171" spans="1:22" x14ac:dyDescent="0.25">
      <c r="A171">
        <v>41509275856</v>
      </c>
      <c r="B171" t="s">
        <v>10</v>
      </c>
      <c r="C171" t="s">
        <v>128</v>
      </c>
      <c r="D171">
        <v>41509275856</v>
      </c>
      <c r="E171" s="1">
        <v>46241.777057395833</v>
      </c>
      <c r="F171">
        <v>115</v>
      </c>
      <c r="G171">
        <v>3</v>
      </c>
      <c r="H171" t="s">
        <v>341</v>
      </c>
      <c r="I171" t="s">
        <v>5</v>
      </c>
      <c r="J171" t="s">
        <v>6</v>
      </c>
      <c r="K171">
        <v>54560668</v>
      </c>
      <c r="L171">
        <v>231470</v>
      </c>
      <c r="M171">
        <v>10000</v>
      </c>
      <c r="N171" t="s">
        <v>7</v>
      </c>
      <c r="O171">
        <v>129848.44</v>
      </c>
      <c r="P171" t="s">
        <v>342</v>
      </c>
      <c r="Q171" t="s">
        <v>8</v>
      </c>
      <c r="R171">
        <v>125390674</v>
      </c>
      <c r="S171">
        <v>125390674</v>
      </c>
      <c r="T171">
        <v>125390674</v>
      </c>
      <c r="U171" t="s">
        <v>343</v>
      </c>
      <c r="V171" t="s">
        <v>9</v>
      </c>
    </row>
    <row r="172" spans="1:22" x14ac:dyDescent="0.25">
      <c r="A172">
        <v>41447045903</v>
      </c>
      <c r="B172" t="s">
        <v>10</v>
      </c>
      <c r="C172" t="s">
        <v>149</v>
      </c>
      <c r="D172">
        <v>41447045903</v>
      </c>
      <c r="E172" s="1">
        <v>46204.478944918985</v>
      </c>
      <c r="F172">
        <v>86</v>
      </c>
      <c r="G172">
        <v>3</v>
      </c>
      <c r="H172" t="s">
        <v>150</v>
      </c>
      <c r="I172" t="s">
        <v>151</v>
      </c>
      <c r="J172" t="s">
        <v>6</v>
      </c>
      <c r="K172">
        <v>82132121340001</v>
      </c>
      <c r="L172" t="s">
        <v>26</v>
      </c>
      <c r="M172">
        <v>1200000</v>
      </c>
      <c r="N172" t="s">
        <v>7</v>
      </c>
      <c r="O172">
        <v>15437647.35</v>
      </c>
      <c r="P172" t="s">
        <v>152</v>
      </c>
      <c r="Q172" t="s">
        <v>8</v>
      </c>
      <c r="R172">
        <v>115262164</v>
      </c>
      <c r="S172">
        <v>115262164</v>
      </c>
      <c r="T172">
        <v>115262164</v>
      </c>
      <c r="U172" t="s">
        <v>153</v>
      </c>
      <c r="V172" t="s">
        <v>9</v>
      </c>
    </row>
    <row r="173" spans="1:22" x14ac:dyDescent="0.25">
      <c r="A173">
        <v>41458876248</v>
      </c>
      <c r="B173" t="s">
        <v>10</v>
      </c>
      <c r="C173" t="s">
        <v>149</v>
      </c>
      <c r="D173">
        <v>41458876248</v>
      </c>
      <c r="E173" s="1">
        <v>46211.579239108796</v>
      </c>
      <c r="F173">
        <v>98</v>
      </c>
      <c r="G173">
        <v>3</v>
      </c>
      <c r="H173" t="s">
        <v>154</v>
      </c>
      <c r="I173" t="s">
        <v>155</v>
      </c>
      <c r="J173" t="s">
        <v>6</v>
      </c>
      <c r="K173" t="s">
        <v>156</v>
      </c>
      <c r="L173" t="s">
        <v>26</v>
      </c>
      <c r="M173">
        <v>45000</v>
      </c>
      <c r="N173" t="s">
        <v>27</v>
      </c>
      <c r="O173">
        <v>498940.53</v>
      </c>
      <c r="P173" t="s">
        <v>157</v>
      </c>
      <c r="Q173" t="s">
        <v>8</v>
      </c>
      <c r="R173">
        <v>134675180</v>
      </c>
      <c r="S173">
        <v>134675180</v>
      </c>
      <c r="T173">
        <v>134675180</v>
      </c>
      <c r="U173" t="s">
        <v>158</v>
      </c>
      <c r="V173" t="s">
        <v>9</v>
      </c>
    </row>
    <row r="174" spans="1:22" x14ac:dyDescent="0.25">
      <c r="A174">
        <v>41449008948</v>
      </c>
      <c r="B174" t="s">
        <v>10</v>
      </c>
      <c r="C174" t="s">
        <v>159</v>
      </c>
      <c r="D174">
        <v>41449008948</v>
      </c>
      <c r="E174" s="1">
        <v>46205.52361358796</v>
      </c>
      <c r="F174">
        <v>69</v>
      </c>
      <c r="G174">
        <v>3</v>
      </c>
      <c r="H174" t="s">
        <v>4</v>
      </c>
      <c r="I174" t="s">
        <v>5</v>
      </c>
      <c r="J174" t="s">
        <v>6</v>
      </c>
      <c r="K174">
        <v>9204083</v>
      </c>
      <c r="L174">
        <v>40075</v>
      </c>
      <c r="M174">
        <v>340000</v>
      </c>
      <c r="N174" t="s">
        <v>7</v>
      </c>
      <c r="O174">
        <v>4387868.55</v>
      </c>
      <c r="P174" t="s">
        <v>160</v>
      </c>
      <c r="Q174" t="s">
        <v>8</v>
      </c>
      <c r="R174">
        <v>142592674</v>
      </c>
      <c r="S174">
        <v>142592674</v>
      </c>
      <c r="T174">
        <v>142592674</v>
      </c>
      <c r="U174" t="s">
        <v>54</v>
      </c>
      <c r="V174" t="s">
        <v>15</v>
      </c>
    </row>
    <row r="175" spans="1:22" x14ac:dyDescent="0.25">
      <c r="A175">
        <v>41461960579</v>
      </c>
      <c r="B175" t="s">
        <v>10</v>
      </c>
      <c r="C175" t="s">
        <v>159</v>
      </c>
      <c r="D175">
        <v>41461960579</v>
      </c>
      <c r="E175" s="1">
        <v>46213.490228437498</v>
      </c>
      <c r="F175">
        <v>69</v>
      </c>
      <c r="G175">
        <v>3</v>
      </c>
      <c r="H175" t="s">
        <v>161</v>
      </c>
      <c r="I175" t="s">
        <v>5</v>
      </c>
      <c r="J175" t="s">
        <v>6</v>
      </c>
      <c r="K175">
        <v>77461029</v>
      </c>
      <c r="L175">
        <v>401276</v>
      </c>
      <c r="M175">
        <v>48500</v>
      </c>
      <c r="N175" t="s">
        <v>7</v>
      </c>
      <c r="O175">
        <v>625916.52</v>
      </c>
      <c r="P175" t="s">
        <v>162</v>
      </c>
      <c r="Q175" t="s">
        <v>8</v>
      </c>
      <c r="R175">
        <v>118146281</v>
      </c>
      <c r="S175">
        <v>118146281</v>
      </c>
      <c r="T175">
        <v>118146281</v>
      </c>
      <c r="U175" t="s">
        <v>163</v>
      </c>
      <c r="V175" t="s">
        <v>9</v>
      </c>
    </row>
    <row r="176" spans="1:22" x14ac:dyDescent="0.25">
      <c r="A176">
        <v>41472246859</v>
      </c>
      <c r="B176" t="s">
        <v>2</v>
      </c>
      <c r="C176" t="s">
        <v>159</v>
      </c>
      <c r="D176">
        <v>41472246859</v>
      </c>
      <c r="E176" s="1">
        <v>46219.743704224536</v>
      </c>
      <c r="F176">
        <v>69</v>
      </c>
      <c r="G176">
        <v>3</v>
      </c>
      <c r="H176" t="s">
        <v>91</v>
      </c>
      <c r="I176" t="s">
        <v>5</v>
      </c>
      <c r="J176" t="s">
        <v>6</v>
      </c>
      <c r="K176">
        <v>10030747</v>
      </c>
      <c r="L176">
        <v>161923</v>
      </c>
      <c r="M176">
        <v>250000</v>
      </c>
      <c r="N176" t="s">
        <v>7</v>
      </c>
      <c r="O176">
        <v>3226373.98</v>
      </c>
      <c r="P176" t="s">
        <v>146</v>
      </c>
      <c r="Q176" t="s">
        <v>8</v>
      </c>
      <c r="R176">
        <v>107560732</v>
      </c>
      <c r="S176">
        <v>107560732</v>
      </c>
      <c r="T176">
        <v>107560732</v>
      </c>
      <c r="U176" t="s">
        <v>93</v>
      </c>
      <c r="V176" t="s">
        <v>9</v>
      </c>
    </row>
    <row r="177" spans="1:22" x14ac:dyDescent="0.25">
      <c r="A177">
        <v>41474001223</v>
      </c>
      <c r="B177" t="s">
        <v>106</v>
      </c>
      <c r="C177" t="s">
        <v>159</v>
      </c>
      <c r="D177">
        <v>41474001223</v>
      </c>
      <c r="E177" s="1">
        <v>46220.782353946757</v>
      </c>
      <c r="F177">
        <v>69</v>
      </c>
      <c r="G177">
        <v>3</v>
      </c>
      <c r="H177" t="s">
        <v>91</v>
      </c>
      <c r="I177" t="s">
        <v>5</v>
      </c>
      <c r="J177" t="s">
        <v>6</v>
      </c>
      <c r="K177">
        <v>10030747</v>
      </c>
      <c r="L177">
        <v>161923</v>
      </c>
      <c r="M177">
        <v>250000</v>
      </c>
      <c r="N177" t="s">
        <v>7</v>
      </c>
      <c r="O177">
        <v>3226373.98</v>
      </c>
      <c r="P177" t="s">
        <v>146</v>
      </c>
      <c r="Q177" t="s">
        <v>8</v>
      </c>
      <c r="R177">
        <v>107560732</v>
      </c>
      <c r="S177">
        <v>107560732</v>
      </c>
      <c r="T177">
        <v>107560732</v>
      </c>
      <c r="U177" t="s">
        <v>93</v>
      </c>
      <c r="V177" t="s">
        <v>9</v>
      </c>
    </row>
    <row r="178" spans="1:22" x14ac:dyDescent="0.25">
      <c r="A178">
        <v>41479518456</v>
      </c>
      <c r="B178" t="s">
        <v>10</v>
      </c>
      <c r="C178" t="s">
        <v>159</v>
      </c>
      <c r="D178">
        <v>41479518456</v>
      </c>
      <c r="E178" s="1">
        <v>46224.569612673607</v>
      </c>
      <c r="F178">
        <v>69</v>
      </c>
      <c r="G178">
        <v>3</v>
      </c>
      <c r="H178" t="s">
        <v>143</v>
      </c>
      <c r="I178" t="s">
        <v>5</v>
      </c>
      <c r="J178" t="s">
        <v>6</v>
      </c>
      <c r="K178">
        <v>24993780</v>
      </c>
      <c r="L178">
        <v>403232</v>
      </c>
      <c r="M178">
        <v>690000</v>
      </c>
      <c r="N178" t="s">
        <v>7</v>
      </c>
      <c r="O178">
        <v>8959539.5399999991</v>
      </c>
      <c r="P178" t="s">
        <v>164</v>
      </c>
      <c r="Q178" t="s">
        <v>8</v>
      </c>
      <c r="R178">
        <v>105434856</v>
      </c>
      <c r="S178">
        <v>105434856</v>
      </c>
      <c r="T178">
        <v>105434856</v>
      </c>
      <c r="U178" t="s">
        <v>165</v>
      </c>
      <c r="V178" t="s">
        <v>47</v>
      </c>
    </row>
    <row r="179" spans="1:22" x14ac:dyDescent="0.25">
      <c r="A179">
        <v>41502622988</v>
      </c>
      <c r="B179" t="s">
        <v>10</v>
      </c>
      <c r="C179" t="s">
        <v>159</v>
      </c>
      <c r="D179">
        <v>41502622988</v>
      </c>
      <c r="E179" s="1">
        <v>46237.631411585651</v>
      </c>
      <c r="F179">
        <v>69</v>
      </c>
      <c r="G179">
        <v>3</v>
      </c>
      <c r="H179" t="s">
        <v>143</v>
      </c>
      <c r="I179" t="s">
        <v>5</v>
      </c>
      <c r="J179" t="s">
        <v>6</v>
      </c>
      <c r="K179">
        <v>9017860</v>
      </c>
      <c r="L179">
        <v>403232</v>
      </c>
      <c r="M179">
        <v>500000</v>
      </c>
      <c r="N179" t="s">
        <v>7</v>
      </c>
      <c r="O179">
        <v>6492420.0099999998</v>
      </c>
      <c r="P179" t="s">
        <v>279</v>
      </c>
      <c r="Q179" t="s">
        <v>8</v>
      </c>
      <c r="R179">
        <v>108407818</v>
      </c>
      <c r="S179">
        <v>108407818</v>
      </c>
      <c r="T179">
        <v>108407818</v>
      </c>
      <c r="U179" t="s">
        <v>280</v>
      </c>
      <c r="V179" t="s">
        <v>9</v>
      </c>
    </row>
    <row r="180" spans="1:22" x14ac:dyDescent="0.25">
      <c r="A180">
        <v>41505232361</v>
      </c>
      <c r="B180" t="s">
        <v>10</v>
      </c>
      <c r="C180" t="s">
        <v>159</v>
      </c>
      <c r="D180">
        <v>41505232361</v>
      </c>
      <c r="E180" s="1">
        <v>46239.444123564812</v>
      </c>
      <c r="F180">
        <v>69</v>
      </c>
      <c r="G180">
        <v>3</v>
      </c>
      <c r="H180" t="s">
        <v>344</v>
      </c>
      <c r="I180" t="s">
        <v>5</v>
      </c>
      <c r="J180" t="s">
        <v>6</v>
      </c>
      <c r="K180">
        <v>67752705</v>
      </c>
      <c r="L180">
        <v>536123</v>
      </c>
      <c r="M180">
        <v>125000</v>
      </c>
      <c r="N180" t="s">
        <v>7</v>
      </c>
      <c r="O180">
        <v>1623104.98</v>
      </c>
      <c r="P180" t="s">
        <v>345</v>
      </c>
      <c r="Q180" t="s">
        <v>8</v>
      </c>
      <c r="R180">
        <v>115992786</v>
      </c>
      <c r="S180">
        <v>115992786</v>
      </c>
      <c r="T180">
        <v>115992786</v>
      </c>
      <c r="U180" t="s">
        <v>346</v>
      </c>
      <c r="V180" t="s">
        <v>9</v>
      </c>
    </row>
    <row r="181" spans="1:22" x14ac:dyDescent="0.25">
      <c r="A181">
        <v>41507370412</v>
      </c>
      <c r="B181" t="s">
        <v>10</v>
      </c>
      <c r="C181" t="s">
        <v>159</v>
      </c>
      <c r="D181">
        <v>41507370412</v>
      </c>
      <c r="E181" s="1">
        <v>46240.658783715277</v>
      </c>
      <c r="F181">
        <v>69</v>
      </c>
      <c r="G181">
        <v>3</v>
      </c>
      <c r="H181" t="s">
        <v>336</v>
      </c>
      <c r="I181" t="s">
        <v>5</v>
      </c>
      <c r="J181" t="s">
        <v>6</v>
      </c>
      <c r="K181">
        <v>94457662</v>
      </c>
      <c r="L181">
        <v>10541</v>
      </c>
      <c r="M181">
        <v>131250</v>
      </c>
      <c r="N181" t="s">
        <v>7</v>
      </c>
      <c r="O181">
        <v>1704260.23</v>
      </c>
      <c r="P181" t="s">
        <v>337</v>
      </c>
      <c r="Q181" t="s">
        <v>8</v>
      </c>
      <c r="R181">
        <v>103220075</v>
      </c>
      <c r="S181">
        <v>103220075</v>
      </c>
      <c r="T181">
        <v>103220075</v>
      </c>
      <c r="U181" t="s">
        <v>338</v>
      </c>
      <c r="V181" t="s">
        <v>9</v>
      </c>
    </row>
    <row r="182" spans="1:22" x14ac:dyDescent="0.25">
      <c r="A182">
        <v>41486224304</v>
      </c>
      <c r="B182" t="s">
        <v>2</v>
      </c>
      <c r="C182" t="s">
        <v>166</v>
      </c>
      <c r="D182">
        <v>41486224304</v>
      </c>
      <c r="E182" s="1">
        <v>46227.857881863427</v>
      </c>
      <c r="F182">
        <v>115</v>
      </c>
      <c r="G182">
        <v>3</v>
      </c>
      <c r="H182" t="s">
        <v>4</v>
      </c>
      <c r="I182" t="s">
        <v>5</v>
      </c>
      <c r="J182" t="s">
        <v>6</v>
      </c>
      <c r="K182">
        <v>26180505</v>
      </c>
      <c r="L182">
        <v>608407</v>
      </c>
      <c r="M182">
        <v>100000</v>
      </c>
      <c r="N182" t="s">
        <v>7</v>
      </c>
      <c r="O182">
        <v>1298483.98</v>
      </c>
      <c r="P182" t="s">
        <v>265</v>
      </c>
      <c r="Q182" t="s">
        <v>8</v>
      </c>
      <c r="R182">
        <v>126118058</v>
      </c>
      <c r="S182">
        <v>126118058</v>
      </c>
      <c r="T182">
        <v>126118058</v>
      </c>
      <c r="U182" t="s">
        <v>264</v>
      </c>
      <c r="V182" t="s">
        <v>15</v>
      </c>
    </row>
    <row r="183" spans="1:22" x14ac:dyDescent="0.25">
      <c r="A183">
        <v>41486220957</v>
      </c>
      <c r="B183" t="s">
        <v>2</v>
      </c>
      <c r="C183" t="s">
        <v>166</v>
      </c>
      <c r="D183">
        <v>41486220957</v>
      </c>
      <c r="E183" s="1">
        <v>46227.856335497687</v>
      </c>
      <c r="F183">
        <v>115</v>
      </c>
      <c r="G183">
        <v>3</v>
      </c>
      <c r="H183" t="s">
        <v>4</v>
      </c>
      <c r="I183" t="s">
        <v>5</v>
      </c>
      <c r="J183" t="s">
        <v>6</v>
      </c>
      <c r="K183">
        <v>26180505</v>
      </c>
      <c r="L183">
        <v>608407</v>
      </c>
      <c r="M183">
        <v>100000</v>
      </c>
      <c r="N183" t="s">
        <v>7</v>
      </c>
      <c r="O183">
        <v>1298483.98</v>
      </c>
      <c r="P183" t="s">
        <v>265</v>
      </c>
      <c r="Q183" t="s">
        <v>8</v>
      </c>
      <c r="R183">
        <v>126118058</v>
      </c>
      <c r="S183">
        <v>126118058</v>
      </c>
      <c r="T183">
        <v>126118058</v>
      </c>
      <c r="U183" t="s">
        <v>264</v>
      </c>
      <c r="V183" t="s">
        <v>15</v>
      </c>
    </row>
    <row r="184" spans="1:22" x14ac:dyDescent="0.25">
      <c r="A184">
        <v>41486224304</v>
      </c>
      <c r="B184" t="s">
        <v>2</v>
      </c>
      <c r="C184" t="s">
        <v>347</v>
      </c>
      <c r="D184">
        <v>41486224304</v>
      </c>
      <c r="E184" s="1">
        <v>46227.857881863427</v>
      </c>
      <c r="F184">
        <v>115</v>
      </c>
      <c r="G184">
        <v>3</v>
      </c>
      <c r="H184" t="s">
        <v>4</v>
      </c>
      <c r="I184" t="s">
        <v>5</v>
      </c>
      <c r="J184" t="s">
        <v>6</v>
      </c>
      <c r="K184">
        <v>26180505</v>
      </c>
      <c r="L184">
        <v>608407</v>
      </c>
      <c r="M184">
        <v>100000</v>
      </c>
      <c r="N184" t="s">
        <v>7</v>
      </c>
      <c r="O184">
        <v>1298483.98</v>
      </c>
      <c r="P184" t="s">
        <v>265</v>
      </c>
      <c r="Q184" t="s">
        <v>8</v>
      </c>
      <c r="R184">
        <v>126118058</v>
      </c>
      <c r="S184">
        <v>126118058</v>
      </c>
      <c r="T184">
        <v>126118058</v>
      </c>
      <c r="U184" t="s">
        <v>264</v>
      </c>
      <c r="V184" t="s">
        <v>15</v>
      </c>
    </row>
    <row r="185" spans="1:22" x14ac:dyDescent="0.25">
      <c r="A185">
        <v>41447045903</v>
      </c>
      <c r="B185" t="s">
        <v>10</v>
      </c>
      <c r="C185" t="s">
        <v>167</v>
      </c>
      <c r="D185">
        <v>41447045903</v>
      </c>
      <c r="E185" s="1">
        <v>46204.478944918985</v>
      </c>
      <c r="F185">
        <v>86</v>
      </c>
      <c r="G185">
        <v>3</v>
      </c>
      <c r="H185" t="s">
        <v>150</v>
      </c>
      <c r="I185" t="s">
        <v>151</v>
      </c>
      <c r="J185" t="s">
        <v>6</v>
      </c>
      <c r="K185">
        <v>82132121340001</v>
      </c>
      <c r="L185" t="s">
        <v>26</v>
      </c>
      <c r="M185">
        <v>1200000</v>
      </c>
      <c r="N185" t="s">
        <v>7</v>
      </c>
      <c r="O185">
        <v>15437647.35</v>
      </c>
      <c r="P185" t="s">
        <v>152</v>
      </c>
      <c r="Q185" t="s">
        <v>8</v>
      </c>
      <c r="R185">
        <v>115262164</v>
      </c>
      <c r="S185">
        <v>115262164</v>
      </c>
      <c r="T185">
        <v>115262164</v>
      </c>
      <c r="U185" t="s">
        <v>153</v>
      </c>
      <c r="V185" t="s">
        <v>9</v>
      </c>
    </row>
    <row r="186" spans="1:22" x14ac:dyDescent="0.25">
      <c r="A186">
        <v>41446939640</v>
      </c>
      <c r="B186" t="s">
        <v>10</v>
      </c>
      <c r="C186" t="s">
        <v>167</v>
      </c>
      <c r="D186">
        <v>41446939640</v>
      </c>
      <c r="E186" s="1">
        <v>46204.443933437498</v>
      </c>
      <c r="F186">
        <v>69</v>
      </c>
      <c r="G186">
        <v>3</v>
      </c>
      <c r="H186" t="s">
        <v>4</v>
      </c>
      <c r="I186" t="s">
        <v>5</v>
      </c>
      <c r="J186" t="s">
        <v>6</v>
      </c>
      <c r="K186">
        <v>80432571</v>
      </c>
      <c r="L186">
        <v>200771</v>
      </c>
      <c r="M186">
        <v>1500000</v>
      </c>
      <c r="N186" t="s">
        <v>7</v>
      </c>
      <c r="O186">
        <v>19297059.140000001</v>
      </c>
      <c r="P186" t="s">
        <v>36</v>
      </c>
      <c r="Q186" t="s">
        <v>8</v>
      </c>
      <c r="R186">
        <v>88738513</v>
      </c>
      <c r="S186">
        <v>88738513</v>
      </c>
      <c r="T186">
        <v>88738513</v>
      </c>
      <c r="U186" t="s">
        <v>126</v>
      </c>
      <c r="V186" t="s">
        <v>15</v>
      </c>
    </row>
    <row r="187" spans="1:22" x14ac:dyDescent="0.25">
      <c r="A187">
        <v>41479581129</v>
      </c>
      <c r="B187" t="s">
        <v>10</v>
      </c>
      <c r="C187" t="s">
        <v>167</v>
      </c>
      <c r="D187">
        <v>41479581129</v>
      </c>
      <c r="E187" s="1">
        <v>46224.589946030093</v>
      </c>
      <c r="F187">
        <v>69</v>
      </c>
      <c r="G187">
        <v>3</v>
      </c>
      <c r="H187" t="s">
        <v>4</v>
      </c>
      <c r="I187" t="s">
        <v>5</v>
      </c>
      <c r="J187" t="s">
        <v>6</v>
      </c>
      <c r="K187">
        <v>31682626</v>
      </c>
      <c r="L187">
        <v>40075</v>
      </c>
      <c r="M187">
        <v>1280000</v>
      </c>
      <c r="N187" t="s">
        <v>7</v>
      </c>
      <c r="O187">
        <v>16620595.1</v>
      </c>
      <c r="P187" t="s">
        <v>127</v>
      </c>
      <c r="Q187" t="s">
        <v>8</v>
      </c>
      <c r="R187">
        <v>113290936</v>
      </c>
      <c r="S187">
        <v>113290936</v>
      </c>
      <c r="T187">
        <v>113290936</v>
      </c>
      <c r="U187" t="s">
        <v>41</v>
      </c>
      <c r="V187" t="s">
        <v>9</v>
      </c>
    </row>
    <row r="188" spans="1:22" x14ac:dyDescent="0.25">
      <c r="A188">
        <v>41492029854</v>
      </c>
      <c r="B188" t="s">
        <v>10</v>
      </c>
      <c r="C188" t="s">
        <v>167</v>
      </c>
      <c r="D188">
        <v>41492029854</v>
      </c>
      <c r="E188" s="1">
        <v>46231.201255902779</v>
      </c>
      <c r="F188">
        <v>69</v>
      </c>
      <c r="G188">
        <v>3</v>
      </c>
      <c r="H188" t="s">
        <v>4</v>
      </c>
      <c r="I188" t="s">
        <v>5</v>
      </c>
      <c r="J188" t="s">
        <v>6</v>
      </c>
      <c r="K188">
        <v>5048715</v>
      </c>
      <c r="L188">
        <v>404875</v>
      </c>
      <c r="M188">
        <v>3899990</v>
      </c>
      <c r="N188" t="s">
        <v>7</v>
      </c>
      <c r="O188">
        <v>50640745.969999999</v>
      </c>
      <c r="P188" t="s">
        <v>348</v>
      </c>
      <c r="Q188" t="s">
        <v>8</v>
      </c>
      <c r="R188">
        <v>111696480</v>
      </c>
      <c r="S188">
        <v>111696480</v>
      </c>
      <c r="T188">
        <v>111696480</v>
      </c>
      <c r="U188" t="s">
        <v>349</v>
      </c>
      <c r="V188" t="s">
        <v>9</v>
      </c>
    </row>
    <row r="189" spans="1:22" x14ac:dyDescent="0.25">
      <c r="A189">
        <v>41505261918</v>
      </c>
      <c r="B189" t="s">
        <v>10</v>
      </c>
      <c r="C189" t="s">
        <v>167</v>
      </c>
      <c r="D189">
        <v>41505261918</v>
      </c>
      <c r="E189" s="1">
        <v>46239.45523983796</v>
      </c>
      <c r="F189">
        <v>69</v>
      </c>
      <c r="G189">
        <v>3</v>
      </c>
      <c r="H189" t="s">
        <v>350</v>
      </c>
      <c r="I189" t="s">
        <v>5</v>
      </c>
      <c r="J189" t="s">
        <v>6</v>
      </c>
      <c r="K189">
        <v>12517060</v>
      </c>
      <c r="L189">
        <v>309493</v>
      </c>
      <c r="M189">
        <v>1999000</v>
      </c>
      <c r="N189" t="s">
        <v>7</v>
      </c>
      <c r="O189">
        <v>25956695.010000002</v>
      </c>
      <c r="P189" t="s">
        <v>45</v>
      </c>
      <c r="Q189" t="s">
        <v>8</v>
      </c>
      <c r="R189">
        <v>88738513</v>
      </c>
      <c r="S189">
        <v>88738513</v>
      </c>
      <c r="T189">
        <v>88738513</v>
      </c>
      <c r="U189" t="s">
        <v>126</v>
      </c>
      <c r="V189" t="s">
        <v>15</v>
      </c>
    </row>
    <row r="190" spans="1:22" x14ac:dyDescent="0.25">
      <c r="A190">
        <v>41447927653</v>
      </c>
      <c r="B190" t="s">
        <v>10</v>
      </c>
      <c r="C190" t="s">
        <v>168</v>
      </c>
      <c r="D190">
        <v>41447927653</v>
      </c>
      <c r="E190" s="1">
        <v>46204.759448182871</v>
      </c>
      <c r="F190">
        <v>115</v>
      </c>
      <c r="G190">
        <v>3</v>
      </c>
      <c r="H190" t="s">
        <v>4</v>
      </c>
      <c r="I190" t="s">
        <v>5</v>
      </c>
      <c r="J190" t="s">
        <v>6</v>
      </c>
      <c r="K190">
        <v>56183501</v>
      </c>
      <c r="L190">
        <v>600155</v>
      </c>
      <c r="M190">
        <v>100000</v>
      </c>
      <c r="N190" t="s">
        <v>7</v>
      </c>
      <c r="O190">
        <v>1286470.56</v>
      </c>
      <c r="P190" t="s">
        <v>50</v>
      </c>
      <c r="Q190" t="s">
        <v>8</v>
      </c>
      <c r="R190">
        <v>113570774</v>
      </c>
      <c r="S190">
        <v>113570774</v>
      </c>
      <c r="T190">
        <v>113570774</v>
      </c>
      <c r="U190" t="s">
        <v>51</v>
      </c>
      <c r="V190" t="s">
        <v>52</v>
      </c>
    </row>
    <row r="191" spans="1:22" x14ac:dyDescent="0.25">
      <c r="A191">
        <v>41447679199</v>
      </c>
      <c r="B191" t="s">
        <v>10</v>
      </c>
      <c r="C191" t="s">
        <v>168</v>
      </c>
      <c r="D191">
        <v>41447679199</v>
      </c>
      <c r="E191" s="1">
        <v>46204.67572190972</v>
      </c>
      <c r="F191">
        <v>115</v>
      </c>
      <c r="G191">
        <v>3</v>
      </c>
      <c r="H191" t="s">
        <v>4</v>
      </c>
      <c r="I191" t="s">
        <v>5</v>
      </c>
      <c r="J191" t="s">
        <v>6</v>
      </c>
      <c r="K191">
        <v>9204083</v>
      </c>
      <c r="L191">
        <v>40075</v>
      </c>
      <c r="M191">
        <v>50000</v>
      </c>
      <c r="N191" t="s">
        <v>7</v>
      </c>
      <c r="O191">
        <v>643235.32999999996</v>
      </c>
      <c r="P191" t="s">
        <v>53</v>
      </c>
      <c r="Q191" t="s">
        <v>8</v>
      </c>
      <c r="R191">
        <v>142592674</v>
      </c>
      <c r="S191">
        <v>142592674</v>
      </c>
      <c r="T191">
        <v>142592674</v>
      </c>
      <c r="U191" t="s">
        <v>54</v>
      </c>
      <c r="V191" t="s">
        <v>15</v>
      </c>
    </row>
    <row r="192" spans="1:22" x14ac:dyDescent="0.25">
      <c r="A192">
        <v>41447499790</v>
      </c>
      <c r="B192" t="s">
        <v>2</v>
      </c>
      <c r="C192" t="s">
        <v>168</v>
      </c>
      <c r="D192">
        <v>41447499790</v>
      </c>
      <c r="E192" s="1">
        <v>46204.618747534725</v>
      </c>
      <c r="F192">
        <v>115</v>
      </c>
      <c r="G192">
        <v>3</v>
      </c>
      <c r="H192" t="s">
        <v>29</v>
      </c>
      <c r="I192" t="s">
        <v>5</v>
      </c>
      <c r="J192" t="s">
        <v>6</v>
      </c>
      <c r="K192">
        <v>23901216</v>
      </c>
      <c r="L192">
        <v>406377</v>
      </c>
      <c r="M192">
        <v>61286.07</v>
      </c>
      <c r="N192" t="s">
        <v>7</v>
      </c>
      <c r="O192">
        <v>788427.31</v>
      </c>
      <c r="P192" t="s">
        <v>30</v>
      </c>
      <c r="Q192" t="s">
        <v>8</v>
      </c>
      <c r="R192">
        <v>119309359</v>
      </c>
      <c r="S192">
        <v>119309359</v>
      </c>
      <c r="T192">
        <v>119309359</v>
      </c>
      <c r="U192" t="s">
        <v>31</v>
      </c>
      <c r="V192" t="s">
        <v>9</v>
      </c>
    </row>
    <row r="193" spans="1:22" x14ac:dyDescent="0.25">
      <c r="A193">
        <v>41447332030</v>
      </c>
      <c r="B193" t="s">
        <v>10</v>
      </c>
      <c r="C193" t="s">
        <v>168</v>
      </c>
      <c r="D193">
        <v>41447332030</v>
      </c>
      <c r="E193" s="1">
        <v>46204.565191712965</v>
      </c>
      <c r="F193">
        <v>115</v>
      </c>
      <c r="G193">
        <v>3</v>
      </c>
      <c r="H193" t="s">
        <v>4</v>
      </c>
      <c r="I193" t="s">
        <v>5</v>
      </c>
      <c r="J193" t="s">
        <v>6</v>
      </c>
      <c r="K193">
        <v>9204083</v>
      </c>
      <c r="L193">
        <v>40075</v>
      </c>
      <c r="M193">
        <v>50000</v>
      </c>
      <c r="N193" t="s">
        <v>7</v>
      </c>
      <c r="O193">
        <v>643235.32999999996</v>
      </c>
      <c r="P193" t="s">
        <v>53</v>
      </c>
      <c r="Q193" t="s">
        <v>8</v>
      </c>
      <c r="R193">
        <v>142592674</v>
      </c>
      <c r="S193">
        <v>142592674</v>
      </c>
      <c r="T193">
        <v>142592674</v>
      </c>
      <c r="U193" t="s">
        <v>54</v>
      </c>
      <c r="V193" t="s">
        <v>15</v>
      </c>
    </row>
    <row r="194" spans="1:22" x14ac:dyDescent="0.25">
      <c r="A194">
        <v>41446618157</v>
      </c>
      <c r="B194" t="s">
        <v>10</v>
      </c>
      <c r="C194" t="s">
        <v>168</v>
      </c>
      <c r="D194">
        <v>41446618157</v>
      </c>
      <c r="E194" s="1">
        <v>46204.277276319444</v>
      </c>
      <c r="F194">
        <v>115</v>
      </c>
      <c r="G194">
        <v>3</v>
      </c>
      <c r="H194" t="s">
        <v>4</v>
      </c>
      <c r="I194" t="s">
        <v>5</v>
      </c>
      <c r="J194" t="s">
        <v>6</v>
      </c>
      <c r="K194">
        <v>10779032</v>
      </c>
      <c r="L194">
        <v>201854</v>
      </c>
      <c r="M194">
        <v>50000</v>
      </c>
      <c r="N194" t="s">
        <v>7</v>
      </c>
      <c r="O194">
        <v>643235.32999999996</v>
      </c>
      <c r="P194" t="s">
        <v>55</v>
      </c>
      <c r="Q194" t="s">
        <v>8</v>
      </c>
      <c r="R194">
        <v>142592674</v>
      </c>
      <c r="S194">
        <v>142592674</v>
      </c>
      <c r="T194">
        <v>142592674</v>
      </c>
      <c r="U194" t="s">
        <v>54</v>
      </c>
      <c r="V194" t="s">
        <v>15</v>
      </c>
    </row>
    <row r="195" spans="1:22" x14ac:dyDescent="0.25">
      <c r="A195">
        <v>41449578507</v>
      </c>
      <c r="B195" t="s">
        <v>10</v>
      </c>
      <c r="C195" t="s">
        <v>168</v>
      </c>
      <c r="D195">
        <v>41449578507</v>
      </c>
      <c r="E195" s="1">
        <v>46205.701892407407</v>
      </c>
      <c r="F195">
        <v>115</v>
      </c>
      <c r="G195">
        <v>3</v>
      </c>
      <c r="H195" t="s">
        <v>4</v>
      </c>
      <c r="I195" t="s">
        <v>5</v>
      </c>
      <c r="J195" t="s">
        <v>6</v>
      </c>
      <c r="K195">
        <v>61658919</v>
      </c>
      <c r="L195">
        <v>406437</v>
      </c>
      <c r="M195">
        <v>90000</v>
      </c>
      <c r="N195" t="s">
        <v>7</v>
      </c>
      <c r="O195">
        <v>1161494.57</v>
      </c>
      <c r="P195" t="s">
        <v>58</v>
      </c>
      <c r="Q195" t="s">
        <v>8</v>
      </c>
      <c r="R195">
        <v>86816444</v>
      </c>
      <c r="S195">
        <v>86816444</v>
      </c>
      <c r="T195">
        <v>86816444</v>
      </c>
      <c r="U195" t="s">
        <v>59</v>
      </c>
      <c r="V195" t="s">
        <v>9</v>
      </c>
    </row>
    <row r="196" spans="1:22" x14ac:dyDescent="0.25">
      <c r="A196">
        <v>41448593472</v>
      </c>
      <c r="B196" t="s">
        <v>2</v>
      </c>
      <c r="C196" t="s">
        <v>168</v>
      </c>
      <c r="D196">
        <v>41448593472</v>
      </c>
      <c r="E196" s="1">
        <v>46205.373878738428</v>
      </c>
      <c r="F196">
        <v>115</v>
      </c>
      <c r="G196">
        <v>3</v>
      </c>
      <c r="H196" t="s">
        <v>4</v>
      </c>
      <c r="I196" t="s">
        <v>5</v>
      </c>
      <c r="J196" t="s">
        <v>6</v>
      </c>
      <c r="K196">
        <v>9204083</v>
      </c>
      <c r="L196">
        <v>40075</v>
      </c>
      <c r="M196">
        <v>50000</v>
      </c>
      <c r="N196" t="s">
        <v>7</v>
      </c>
      <c r="O196">
        <v>645274.81999999995</v>
      </c>
      <c r="P196" t="s">
        <v>53</v>
      </c>
      <c r="Q196" t="s">
        <v>8</v>
      </c>
      <c r="R196">
        <v>142592674</v>
      </c>
      <c r="S196">
        <v>142592674</v>
      </c>
      <c r="T196">
        <v>142592674</v>
      </c>
      <c r="U196" t="s">
        <v>54</v>
      </c>
      <c r="V196" t="s">
        <v>15</v>
      </c>
    </row>
    <row r="197" spans="1:22" x14ac:dyDescent="0.25">
      <c r="A197">
        <v>41451779027</v>
      </c>
      <c r="B197" t="s">
        <v>10</v>
      </c>
      <c r="C197" t="s">
        <v>168</v>
      </c>
      <c r="D197">
        <v>41451779027</v>
      </c>
      <c r="E197" s="1">
        <v>46206.854324143518</v>
      </c>
      <c r="F197">
        <v>115</v>
      </c>
      <c r="G197">
        <v>3</v>
      </c>
      <c r="H197" t="s">
        <v>4</v>
      </c>
      <c r="I197" t="s">
        <v>5</v>
      </c>
      <c r="J197" t="s">
        <v>6</v>
      </c>
      <c r="K197">
        <v>20881107</v>
      </c>
      <c r="L197">
        <v>236247</v>
      </c>
      <c r="M197">
        <v>100000</v>
      </c>
      <c r="N197" t="s">
        <v>7</v>
      </c>
      <c r="O197">
        <v>1290549.53</v>
      </c>
      <c r="P197" t="s">
        <v>36</v>
      </c>
      <c r="Q197" t="s">
        <v>8</v>
      </c>
      <c r="R197">
        <v>127621456</v>
      </c>
      <c r="S197">
        <v>127621456</v>
      </c>
      <c r="T197">
        <v>127621456</v>
      </c>
      <c r="U197" t="s">
        <v>60</v>
      </c>
      <c r="V197" t="s">
        <v>9</v>
      </c>
    </row>
    <row r="198" spans="1:22" x14ac:dyDescent="0.25">
      <c r="A198">
        <v>41451347753</v>
      </c>
      <c r="B198" t="s">
        <v>2</v>
      </c>
      <c r="C198" t="s">
        <v>168</v>
      </c>
      <c r="D198">
        <v>41451347753</v>
      </c>
      <c r="E198" s="1">
        <v>46206.680642743057</v>
      </c>
      <c r="F198">
        <v>115</v>
      </c>
      <c r="G198">
        <v>3</v>
      </c>
      <c r="H198" t="s">
        <v>4</v>
      </c>
      <c r="I198" t="s">
        <v>5</v>
      </c>
      <c r="J198" t="s">
        <v>6</v>
      </c>
      <c r="K198">
        <v>16281625</v>
      </c>
      <c r="L198">
        <v>608407</v>
      </c>
      <c r="M198">
        <v>100000</v>
      </c>
      <c r="N198" t="s">
        <v>7</v>
      </c>
      <c r="O198">
        <v>1290549.53</v>
      </c>
      <c r="P198" t="s">
        <v>61</v>
      </c>
      <c r="Q198" t="s">
        <v>8</v>
      </c>
      <c r="R198">
        <v>128533080</v>
      </c>
      <c r="S198">
        <v>128533080</v>
      </c>
      <c r="T198">
        <v>128533080</v>
      </c>
      <c r="U198" t="s">
        <v>62</v>
      </c>
      <c r="V198" t="s">
        <v>63</v>
      </c>
    </row>
    <row r="199" spans="1:22" x14ac:dyDescent="0.25">
      <c r="A199">
        <v>41451344908</v>
      </c>
      <c r="B199" t="s">
        <v>10</v>
      </c>
      <c r="C199" t="s">
        <v>168</v>
      </c>
      <c r="D199">
        <v>41451344908</v>
      </c>
      <c r="E199" s="1">
        <v>46206.679814247684</v>
      </c>
      <c r="F199">
        <v>115</v>
      </c>
      <c r="G199">
        <v>3</v>
      </c>
      <c r="H199" t="s">
        <v>4</v>
      </c>
      <c r="I199" t="s">
        <v>5</v>
      </c>
      <c r="J199" t="s">
        <v>6</v>
      </c>
      <c r="K199">
        <v>16281625</v>
      </c>
      <c r="L199">
        <v>608407</v>
      </c>
      <c r="M199">
        <v>100000</v>
      </c>
      <c r="N199" t="s">
        <v>7</v>
      </c>
      <c r="O199">
        <v>1290549.53</v>
      </c>
      <c r="P199" t="s">
        <v>61</v>
      </c>
      <c r="Q199" t="s">
        <v>8</v>
      </c>
      <c r="R199">
        <v>128533080</v>
      </c>
      <c r="S199">
        <v>128533080</v>
      </c>
      <c r="T199">
        <v>128533080</v>
      </c>
      <c r="U199" t="s">
        <v>62</v>
      </c>
      <c r="V199" t="s">
        <v>63</v>
      </c>
    </row>
    <row r="200" spans="1:22" x14ac:dyDescent="0.25">
      <c r="A200">
        <v>41451349515</v>
      </c>
      <c r="B200" t="s">
        <v>2</v>
      </c>
      <c r="C200" t="s">
        <v>168</v>
      </c>
      <c r="D200">
        <v>41451349515</v>
      </c>
      <c r="E200" s="1">
        <v>46206.681241840277</v>
      </c>
      <c r="F200">
        <v>115</v>
      </c>
      <c r="G200">
        <v>3</v>
      </c>
      <c r="H200" t="s">
        <v>4</v>
      </c>
      <c r="I200" t="s">
        <v>5</v>
      </c>
      <c r="J200" t="s">
        <v>6</v>
      </c>
      <c r="K200">
        <v>16281625</v>
      </c>
      <c r="L200">
        <v>608407</v>
      </c>
      <c r="M200">
        <v>50000</v>
      </c>
      <c r="N200" t="s">
        <v>7</v>
      </c>
      <c r="O200">
        <v>645274.81999999995</v>
      </c>
      <c r="P200" t="s">
        <v>61</v>
      </c>
      <c r="Q200" t="s">
        <v>8</v>
      </c>
      <c r="R200">
        <v>128533080</v>
      </c>
      <c r="S200">
        <v>128533080</v>
      </c>
      <c r="T200">
        <v>128533080</v>
      </c>
      <c r="U200" t="s">
        <v>62</v>
      </c>
      <c r="V200" t="s">
        <v>63</v>
      </c>
    </row>
    <row r="201" spans="1:22" x14ac:dyDescent="0.25">
      <c r="A201">
        <v>41451241623</v>
      </c>
      <c r="B201" t="s">
        <v>10</v>
      </c>
      <c r="C201" t="s">
        <v>168</v>
      </c>
      <c r="D201">
        <v>41451241623</v>
      </c>
      <c r="E201" s="1">
        <v>46206.647496817131</v>
      </c>
      <c r="F201">
        <v>115</v>
      </c>
      <c r="G201">
        <v>3</v>
      </c>
      <c r="H201" t="s">
        <v>4</v>
      </c>
      <c r="I201" t="s">
        <v>5</v>
      </c>
      <c r="J201" t="s">
        <v>6</v>
      </c>
      <c r="K201">
        <v>16281625</v>
      </c>
      <c r="L201">
        <v>608407</v>
      </c>
      <c r="M201">
        <v>100000</v>
      </c>
      <c r="N201" t="s">
        <v>7</v>
      </c>
      <c r="O201">
        <v>1290549.53</v>
      </c>
      <c r="P201" t="s">
        <v>61</v>
      </c>
      <c r="Q201" t="s">
        <v>8</v>
      </c>
      <c r="R201">
        <v>128533080</v>
      </c>
      <c r="S201">
        <v>128533080</v>
      </c>
      <c r="T201">
        <v>128533080</v>
      </c>
      <c r="U201" t="s">
        <v>62</v>
      </c>
      <c r="V201" t="s">
        <v>63</v>
      </c>
    </row>
    <row r="202" spans="1:22" x14ac:dyDescent="0.25">
      <c r="A202">
        <v>41450493081</v>
      </c>
      <c r="B202" t="s">
        <v>10</v>
      </c>
      <c r="C202" t="s">
        <v>168</v>
      </c>
      <c r="D202">
        <v>41450493081</v>
      </c>
      <c r="E202" s="1">
        <v>46206.41441636574</v>
      </c>
      <c r="F202">
        <v>115</v>
      </c>
      <c r="G202">
        <v>3</v>
      </c>
      <c r="H202" t="s">
        <v>68</v>
      </c>
      <c r="I202" t="s">
        <v>5</v>
      </c>
      <c r="J202" t="s">
        <v>6</v>
      </c>
      <c r="K202">
        <v>54606</v>
      </c>
      <c r="L202">
        <v>165760</v>
      </c>
      <c r="M202">
        <v>100000</v>
      </c>
      <c r="N202" t="s">
        <v>7</v>
      </c>
      <c r="O202">
        <v>1290549.53</v>
      </c>
      <c r="P202" t="s">
        <v>69</v>
      </c>
      <c r="Q202" t="s">
        <v>8</v>
      </c>
      <c r="R202">
        <v>102909595</v>
      </c>
      <c r="S202">
        <v>102909595</v>
      </c>
      <c r="T202">
        <v>102909595</v>
      </c>
      <c r="U202" t="s">
        <v>70</v>
      </c>
      <c r="V202" t="s">
        <v>9</v>
      </c>
    </row>
    <row r="203" spans="1:22" x14ac:dyDescent="0.25">
      <c r="A203">
        <v>41450490464</v>
      </c>
      <c r="B203" t="s">
        <v>10</v>
      </c>
      <c r="C203" t="s">
        <v>168</v>
      </c>
      <c r="D203">
        <v>41450490464</v>
      </c>
      <c r="E203" s="1">
        <v>46206.413236064815</v>
      </c>
      <c r="F203">
        <v>115</v>
      </c>
      <c r="G203">
        <v>3</v>
      </c>
      <c r="H203" t="s">
        <v>68</v>
      </c>
      <c r="I203" t="s">
        <v>5</v>
      </c>
      <c r="J203" t="s">
        <v>6</v>
      </c>
      <c r="K203">
        <v>54606</v>
      </c>
      <c r="L203">
        <v>165760</v>
      </c>
      <c r="M203">
        <v>100000</v>
      </c>
      <c r="N203" t="s">
        <v>7</v>
      </c>
      <c r="O203">
        <v>1290549.53</v>
      </c>
      <c r="P203" t="s">
        <v>69</v>
      </c>
      <c r="Q203" t="s">
        <v>8</v>
      </c>
      <c r="R203">
        <v>102909595</v>
      </c>
      <c r="S203">
        <v>102909595</v>
      </c>
      <c r="T203">
        <v>102909595</v>
      </c>
      <c r="U203" t="s">
        <v>70</v>
      </c>
      <c r="V203" t="s">
        <v>9</v>
      </c>
    </row>
    <row r="204" spans="1:22" x14ac:dyDescent="0.25">
      <c r="A204">
        <v>41452226654</v>
      </c>
      <c r="B204" t="s">
        <v>2</v>
      </c>
      <c r="C204" t="s">
        <v>168</v>
      </c>
      <c r="D204">
        <v>41452226654</v>
      </c>
      <c r="E204" s="1">
        <v>46207.438342685185</v>
      </c>
      <c r="F204">
        <v>115</v>
      </c>
      <c r="G204">
        <v>3</v>
      </c>
      <c r="H204" t="s">
        <v>4</v>
      </c>
      <c r="I204" t="s">
        <v>5</v>
      </c>
      <c r="J204" t="s">
        <v>6</v>
      </c>
      <c r="K204">
        <v>16281625</v>
      </c>
      <c r="L204">
        <v>608407</v>
      </c>
      <c r="M204">
        <v>100000</v>
      </c>
      <c r="N204" t="s">
        <v>7</v>
      </c>
      <c r="O204">
        <v>1290549.53</v>
      </c>
      <c r="P204" t="s">
        <v>61</v>
      </c>
      <c r="Q204" t="s">
        <v>8</v>
      </c>
      <c r="R204">
        <v>128533080</v>
      </c>
      <c r="S204">
        <v>128533080</v>
      </c>
      <c r="T204">
        <v>128533080</v>
      </c>
      <c r="U204" t="s">
        <v>62</v>
      </c>
      <c r="V204" t="s">
        <v>63</v>
      </c>
    </row>
    <row r="205" spans="1:22" x14ac:dyDescent="0.25">
      <c r="A205">
        <v>41456137866</v>
      </c>
      <c r="B205" t="s">
        <v>10</v>
      </c>
      <c r="C205" t="s">
        <v>168</v>
      </c>
      <c r="D205">
        <v>41456137866</v>
      </c>
      <c r="E205" s="1">
        <v>46209.794501701392</v>
      </c>
      <c r="F205">
        <v>115</v>
      </c>
      <c r="G205">
        <v>3</v>
      </c>
      <c r="H205" t="s">
        <v>4</v>
      </c>
      <c r="I205" t="s">
        <v>5</v>
      </c>
      <c r="J205" t="s">
        <v>6</v>
      </c>
      <c r="K205">
        <v>50254528</v>
      </c>
      <c r="L205">
        <v>41333</v>
      </c>
      <c r="M205">
        <v>60000</v>
      </c>
      <c r="N205" t="s">
        <v>7</v>
      </c>
      <c r="O205">
        <v>774329.78</v>
      </c>
      <c r="P205" t="s">
        <v>169</v>
      </c>
      <c r="Q205" t="s">
        <v>8</v>
      </c>
      <c r="R205">
        <v>114795784</v>
      </c>
      <c r="S205">
        <v>114795784</v>
      </c>
      <c r="T205">
        <v>114795784</v>
      </c>
      <c r="U205" t="s">
        <v>170</v>
      </c>
      <c r="V205" t="s">
        <v>15</v>
      </c>
    </row>
    <row r="206" spans="1:22" x14ac:dyDescent="0.25">
      <c r="A206">
        <v>41455938889</v>
      </c>
      <c r="B206" t="s">
        <v>10</v>
      </c>
      <c r="C206" t="s">
        <v>168</v>
      </c>
      <c r="D206">
        <v>41455938889</v>
      </c>
      <c r="E206" s="1">
        <v>46209.713750798612</v>
      </c>
      <c r="F206">
        <v>115</v>
      </c>
      <c r="G206">
        <v>3</v>
      </c>
      <c r="H206" t="s">
        <v>4</v>
      </c>
      <c r="I206" t="s">
        <v>5</v>
      </c>
      <c r="J206" t="s">
        <v>6</v>
      </c>
      <c r="K206">
        <v>60372471</v>
      </c>
      <c r="L206">
        <v>209056</v>
      </c>
      <c r="M206">
        <v>55000</v>
      </c>
      <c r="N206" t="s">
        <v>7</v>
      </c>
      <c r="O206">
        <v>709802.3</v>
      </c>
      <c r="P206" t="s">
        <v>77</v>
      </c>
      <c r="Q206" t="s">
        <v>8</v>
      </c>
      <c r="R206">
        <v>135227809</v>
      </c>
      <c r="S206">
        <v>135227809</v>
      </c>
      <c r="T206">
        <v>135227809</v>
      </c>
      <c r="U206" t="s">
        <v>78</v>
      </c>
      <c r="V206" t="s">
        <v>9</v>
      </c>
    </row>
    <row r="207" spans="1:22" x14ac:dyDescent="0.25">
      <c r="A207">
        <v>41455562425</v>
      </c>
      <c r="B207" t="s">
        <v>10</v>
      </c>
      <c r="C207" t="s">
        <v>168</v>
      </c>
      <c r="D207">
        <v>41455562425</v>
      </c>
      <c r="E207" s="1">
        <v>46209.588894768516</v>
      </c>
      <c r="F207">
        <v>115</v>
      </c>
      <c r="G207">
        <v>3</v>
      </c>
      <c r="H207" t="s">
        <v>4</v>
      </c>
      <c r="I207" t="s">
        <v>5</v>
      </c>
      <c r="J207" t="s">
        <v>6</v>
      </c>
      <c r="K207">
        <v>50254528</v>
      </c>
      <c r="L207">
        <v>41333</v>
      </c>
      <c r="M207">
        <v>59000</v>
      </c>
      <c r="N207" t="s">
        <v>7</v>
      </c>
      <c r="O207">
        <v>761424.28</v>
      </c>
      <c r="P207" t="s">
        <v>169</v>
      </c>
      <c r="Q207" t="s">
        <v>8</v>
      </c>
      <c r="R207">
        <v>114795784</v>
      </c>
      <c r="S207">
        <v>114795784</v>
      </c>
      <c r="T207">
        <v>114795784</v>
      </c>
      <c r="U207" t="s">
        <v>170</v>
      </c>
      <c r="V207" t="s">
        <v>15</v>
      </c>
    </row>
    <row r="208" spans="1:22" x14ac:dyDescent="0.25">
      <c r="A208">
        <v>41455493035</v>
      </c>
      <c r="B208" t="s">
        <v>10</v>
      </c>
      <c r="C208" t="s">
        <v>168</v>
      </c>
      <c r="D208">
        <v>41455493035</v>
      </c>
      <c r="E208" s="1">
        <v>46209.568149166669</v>
      </c>
      <c r="F208">
        <v>115</v>
      </c>
      <c r="G208">
        <v>3</v>
      </c>
      <c r="H208" t="s">
        <v>4</v>
      </c>
      <c r="I208" t="s">
        <v>5</v>
      </c>
      <c r="J208" t="s">
        <v>6</v>
      </c>
      <c r="K208">
        <v>54008774</v>
      </c>
      <c r="L208">
        <v>90643</v>
      </c>
      <c r="M208">
        <v>50000</v>
      </c>
      <c r="N208" t="s">
        <v>7</v>
      </c>
      <c r="O208">
        <v>645274.81999999995</v>
      </c>
      <c r="P208" t="s">
        <v>130</v>
      </c>
      <c r="Q208" t="s">
        <v>8</v>
      </c>
      <c r="R208">
        <v>120919394</v>
      </c>
      <c r="S208">
        <v>120919394</v>
      </c>
      <c r="T208">
        <v>120919394</v>
      </c>
      <c r="U208" t="s">
        <v>131</v>
      </c>
      <c r="V208" t="s">
        <v>9</v>
      </c>
    </row>
    <row r="209" spans="1:22" x14ac:dyDescent="0.25">
      <c r="A209">
        <v>41457559096</v>
      </c>
      <c r="B209" t="s">
        <v>10</v>
      </c>
      <c r="C209" t="s">
        <v>168</v>
      </c>
      <c r="D209">
        <v>41457559096</v>
      </c>
      <c r="E209" s="1">
        <v>46210.693101805555</v>
      </c>
      <c r="F209">
        <v>115</v>
      </c>
      <c r="G209">
        <v>3</v>
      </c>
      <c r="H209" t="s">
        <v>4</v>
      </c>
      <c r="I209" t="s">
        <v>5</v>
      </c>
      <c r="J209" t="s">
        <v>6</v>
      </c>
      <c r="K209">
        <v>50254528</v>
      </c>
      <c r="L209">
        <v>41333</v>
      </c>
      <c r="M209">
        <v>80000</v>
      </c>
      <c r="N209" t="s">
        <v>7</v>
      </c>
      <c r="O209">
        <v>1032439.7</v>
      </c>
      <c r="P209" t="s">
        <v>169</v>
      </c>
      <c r="Q209" t="s">
        <v>8</v>
      </c>
      <c r="R209">
        <v>114795784</v>
      </c>
      <c r="S209">
        <v>114795784</v>
      </c>
      <c r="T209">
        <v>114795784</v>
      </c>
      <c r="U209" t="s">
        <v>170</v>
      </c>
      <c r="V209" t="s">
        <v>15</v>
      </c>
    </row>
    <row r="210" spans="1:22" x14ac:dyDescent="0.25">
      <c r="A210">
        <v>41456954979</v>
      </c>
      <c r="B210" t="s">
        <v>2</v>
      </c>
      <c r="C210" t="s">
        <v>168</v>
      </c>
      <c r="D210">
        <v>41456954979</v>
      </c>
      <c r="E210" s="1">
        <v>46210.496085254628</v>
      </c>
      <c r="F210">
        <v>115</v>
      </c>
      <c r="G210">
        <v>3</v>
      </c>
      <c r="H210" t="s">
        <v>4</v>
      </c>
      <c r="I210" t="s">
        <v>5</v>
      </c>
      <c r="J210" t="s">
        <v>6</v>
      </c>
      <c r="K210">
        <v>50254528</v>
      </c>
      <c r="L210">
        <v>41333</v>
      </c>
      <c r="M210">
        <v>80000</v>
      </c>
      <c r="N210" t="s">
        <v>7</v>
      </c>
      <c r="O210">
        <v>1032439.7</v>
      </c>
      <c r="P210" t="s">
        <v>169</v>
      </c>
      <c r="Q210" t="s">
        <v>8</v>
      </c>
      <c r="R210">
        <v>114795784</v>
      </c>
      <c r="S210">
        <v>114795784</v>
      </c>
      <c r="T210">
        <v>114795784</v>
      </c>
      <c r="U210" t="s">
        <v>170</v>
      </c>
      <c r="V210" t="s">
        <v>15</v>
      </c>
    </row>
    <row r="211" spans="1:22" x14ac:dyDescent="0.25">
      <c r="A211">
        <v>41456899665</v>
      </c>
      <c r="B211" t="s">
        <v>10</v>
      </c>
      <c r="C211" t="s">
        <v>168</v>
      </c>
      <c r="D211">
        <v>41456899665</v>
      </c>
      <c r="E211" s="1">
        <v>46210.477408171297</v>
      </c>
      <c r="F211">
        <v>115</v>
      </c>
      <c r="G211">
        <v>3</v>
      </c>
      <c r="H211" t="s">
        <v>4</v>
      </c>
      <c r="I211" t="s">
        <v>5</v>
      </c>
      <c r="J211" t="s">
        <v>6</v>
      </c>
      <c r="K211">
        <v>85532110</v>
      </c>
      <c r="L211">
        <v>608407</v>
      </c>
      <c r="M211">
        <v>55000</v>
      </c>
      <c r="N211" t="s">
        <v>7</v>
      </c>
      <c r="O211">
        <v>709802.3</v>
      </c>
      <c r="P211" t="s">
        <v>111</v>
      </c>
      <c r="Q211" t="s">
        <v>8</v>
      </c>
      <c r="R211">
        <v>123478273</v>
      </c>
      <c r="S211">
        <v>123478273</v>
      </c>
      <c r="T211">
        <v>123478273</v>
      </c>
      <c r="U211" t="s">
        <v>112</v>
      </c>
      <c r="V211" t="s">
        <v>9</v>
      </c>
    </row>
    <row r="212" spans="1:22" x14ac:dyDescent="0.25">
      <c r="A212">
        <v>41458656962</v>
      </c>
      <c r="B212" t="s">
        <v>10</v>
      </c>
      <c r="C212" t="s">
        <v>168</v>
      </c>
      <c r="D212">
        <v>41458656962</v>
      </c>
      <c r="E212" s="1">
        <v>46211.506139965277</v>
      </c>
      <c r="F212">
        <v>115</v>
      </c>
      <c r="G212">
        <v>3</v>
      </c>
      <c r="H212" t="s">
        <v>4</v>
      </c>
      <c r="I212" t="s">
        <v>5</v>
      </c>
      <c r="J212" t="s">
        <v>6</v>
      </c>
      <c r="K212">
        <v>12775154</v>
      </c>
      <c r="L212">
        <v>406437</v>
      </c>
      <c r="M212">
        <v>89861</v>
      </c>
      <c r="N212" t="s">
        <v>7</v>
      </c>
      <c r="O212">
        <v>1159700.77</v>
      </c>
      <c r="P212" t="s">
        <v>113</v>
      </c>
      <c r="Q212" t="s">
        <v>8</v>
      </c>
      <c r="R212">
        <v>107919482</v>
      </c>
      <c r="S212">
        <v>107919482</v>
      </c>
      <c r="T212">
        <v>107919482</v>
      </c>
      <c r="U212" t="s">
        <v>114</v>
      </c>
      <c r="V212" t="s">
        <v>115</v>
      </c>
    </row>
    <row r="213" spans="1:22" x14ac:dyDescent="0.25">
      <c r="A213">
        <v>41458638970</v>
      </c>
      <c r="B213" t="s">
        <v>10</v>
      </c>
      <c r="C213" t="s">
        <v>168</v>
      </c>
      <c r="D213">
        <v>41458638970</v>
      </c>
      <c r="E213" s="1">
        <v>46211.500167245373</v>
      </c>
      <c r="F213">
        <v>115</v>
      </c>
      <c r="G213">
        <v>3</v>
      </c>
      <c r="H213" t="s">
        <v>4</v>
      </c>
      <c r="I213" t="s">
        <v>5</v>
      </c>
      <c r="J213" t="s">
        <v>6</v>
      </c>
      <c r="K213">
        <v>61949425</v>
      </c>
      <c r="L213">
        <v>406437</v>
      </c>
      <c r="M213">
        <v>49990</v>
      </c>
      <c r="N213" t="s">
        <v>7</v>
      </c>
      <c r="O213">
        <v>645145.71</v>
      </c>
      <c r="P213" t="s">
        <v>34</v>
      </c>
      <c r="Q213" t="s">
        <v>8</v>
      </c>
      <c r="R213">
        <v>118924208</v>
      </c>
      <c r="S213">
        <v>118924208</v>
      </c>
      <c r="T213">
        <v>118924208</v>
      </c>
      <c r="U213" t="s">
        <v>35</v>
      </c>
      <c r="V213" t="s">
        <v>9</v>
      </c>
    </row>
    <row r="214" spans="1:22" x14ac:dyDescent="0.25">
      <c r="A214">
        <v>41458164248</v>
      </c>
      <c r="B214" t="s">
        <v>10</v>
      </c>
      <c r="C214" t="s">
        <v>168</v>
      </c>
      <c r="D214">
        <v>41458164248</v>
      </c>
      <c r="E214" s="1">
        <v>46211.052869004627</v>
      </c>
      <c r="F214">
        <v>115</v>
      </c>
      <c r="G214">
        <v>3</v>
      </c>
      <c r="H214" t="s">
        <v>140</v>
      </c>
      <c r="I214" t="s">
        <v>5</v>
      </c>
      <c r="J214" t="s">
        <v>6</v>
      </c>
      <c r="K214">
        <v>13389011</v>
      </c>
      <c r="L214">
        <v>50200</v>
      </c>
      <c r="M214">
        <v>50000</v>
      </c>
      <c r="N214" t="s">
        <v>7</v>
      </c>
      <c r="O214">
        <v>645274.81999999995</v>
      </c>
      <c r="P214" t="s">
        <v>141</v>
      </c>
      <c r="Q214" t="s">
        <v>8</v>
      </c>
      <c r="R214">
        <v>125587352</v>
      </c>
      <c r="S214">
        <v>125587352</v>
      </c>
      <c r="T214">
        <v>125587352</v>
      </c>
      <c r="U214" t="s">
        <v>142</v>
      </c>
      <c r="V214" t="s">
        <v>9</v>
      </c>
    </row>
    <row r="215" spans="1:22" x14ac:dyDescent="0.25">
      <c r="A215">
        <v>41461001762</v>
      </c>
      <c r="B215" t="s">
        <v>10</v>
      </c>
      <c r="C215" t="s">
        <v>168</v>
      </c>
      <c r="D215">
        <v>41461001762</v>
      </c>
      <c r="E215" s="1">
        <v>46212.74098869213</v>
      </c>
      <c r="F215">
        <v>115</v>
      </c>
      <c r="G215">
        <v>3</v>
      </c>
      <c r="H215" t="s">
        <v>171</v>
      </c>
      <c r="I215" t="s">
        <v>5</v>
      </c>
      <c r="J215" t="s">
        <v>6</v>
      </c>
      <c r="K215">
        <v>1487140</v>
      </c>
      <c r="L215">
        <v>403823</v>
      </c>
      <c r="M215">
        <v>50000</v>
      </c>
      <c r="N215" t="s">
        <v>7</v>
      </c>
      <c r="O215">
        <v>645274.81999999995</v>
      </c>
      <c r="P215" t="s">
        <v>172</v>
      </c>
      <c r="Q215" t="s">
        <v>8</v>
      </c>
      <c r="R215">
        <v>112032156</v>
      </c>
      <c r="S215">
        <v>112032156</v>
      </c>
      <c r="T215">
        <v>112032156</v>
      </c>
      <c r="U215" t="s">
        <v>173</v>
      </c>
      <c r="V215" t="s">
        <v>9</v>
      </c>
    </row>
    <row r="216" spans="1:22" x14ac:dyDescent="0.25">
      <c r="A216">
        <v>41462835117</v>
      </c>
      <c r="B216" t="s">
        <v>10</v>
      </c>
      <c r="C216" t="s">
        <v>168</v>
      </c>
      <c r="D216">
        <v>41462835117</v>
      </c>
      <c r="E216" s="1">
        <v>46213.782349236113</v>
      </c>
      <c r="F216">
        <v>115</v>
      </c>
      <c r="G216">
        <v>3</v>
      </c>
      <c r="H216" t="s">
        <v>143</v>
      </c>
      <c r="I216" t="s">
        <v>5</v>
      </c>
      <c r="J216" t="s">
        <v>6</v>
      </c>
      <c r="K216">
        <v>10235121</v>
      </c>
      <c r="L216">
        <v>403232</v>
      </c>
      <c r="M216">
        <v>100000</v>
      </c>
      <c r="N216" t="s">
        <v>7</v>
      </c>
      <c r="O216">
        <v>1290549.53</v>
      </c>
      <c r="P216" t="s">
        <v>144</v>
      </c>
      <c r="Q216" t="s">
        <v>8</v>
      </c>
      <c r="R216">
        <v>148525652</v>
      </c>
      <c r="S216">
        <v>148525652</v>
      </c>
      <c r="T216">
        <v>148525652</v>
      </c>
      <c r="U216" t="s">
        <v>145</v>
      </c>
      <c r="V216" t="s">
        <v>9</v>
      </c>
    </row>
    <row r="217" spans="1:22" x14ac:dyDescent="0.25">
      <c r="A217">
        <v>41462850655</v>
      </c>
      <c r="B217" t="s">
        <v>2</v>
      </c>
      <c r="C217" t="s">
        <v>168</v>
      </c>
      <c r="D217">
        <v>41462850655</v>
      </c>
      <c r="E217" s="1">
        <v>46213.789105752316</v>
      </c>
      <c r="F217">
        <v>115</v>
      </c>
      <c r="G217">
        <v>3</v>
      </c>
      <c r="H217" t="s">
        <v>143</v>
      </c>
      <c r="I217" t="s">
        <v>5</v>
      </c>
      <c r="J217" t="s">
        <v>6</v>
      </c>
      <c r="K217">
        <v>10235121</v>
      </c>
      <c r="L217">
        <v>403232</v>
      </c>
      <c r="M217">
        <v>80000</v>
      </c>
      <c r="N217" t="s">
        <v>7</v>
      </c>
      <c r="O217">
        <v>1032439.7</v>
      </c>
      <c r="P217" t="s">
        <v>144</v>
      </c>
      <c r="Q217" t="s">
        <v>8</v>
      </c>
      <c r="R217">
        <v>148525652</v>
      </c>
      <c r="S217">
        <v>148525652</v>
      </c>
      <c r="T217">
        <v>148525652</v>
      </c>
      <c r="U217" t="s">
        <v>145</v>
      </c>
      <c r="V217" t="s">
        <v>9</v>
      </c>
    </row>
    <row r="218" spans="1:22" x14ac:dyDescent="0.25">
      <c r="A218">
        <v>41462839274</v>
      </c>
      <c r="B218" t="s">
        <v>10</v>
      </c>
      <c r="C218" t="s">
        <v>168</v>
      </c>
      <c r="D218">
        <v>41462839274</v>
      </c>
      <c r="E218" s="1">
        <v>46213.784352766204</v>
      </c>
      <c r="F218">
        <v>115</v>
      </c>
      <c r="G218">
        <v>3</v>
      </c>
      <c r="H218" t="s">
        <v>143</v>
      </c>
      <c r="I218" t="s">
        <v>5</v>
      </c>
      <c r="J218" t="s">
        <v>6</v>
      </c>
      <c r="K218">
        <v>10235121</v>
      </c>
      <c r="L218">
        <v>403232</v>
      </c>
      <c r="M218">
        <v>100000</v>
      </c>
      <c r="N218" t="s">
        <v>7</v>
      </c>
      <c r="O218">
        <v>1290549.53</v>
      </c>
      <c r="P218" t="s">
        <v>144</v>
      </c>
      <c r="Q218" t="s">
        <v>8</v>
      </c>
      <c r="R218">
        <v>148525652</v>
      </c>
      <c r="S218">
        <v>148525652</v>
      </c>
      <c r="T218">
        <v>148525652</v>
      </c>
      <c r="U218" t="s">
        <v>145</v>
      </c>
      <c r="V218" t="s">
        <v>9</v>
      </c>
    </row>
    <row r="219" spans="1:22" x14ac:dyDescent="0.25">
      <c r="A219">
        <v>41462004245</v>
      </c>
      <c r="B219" t="s">
        <v>10</v>
      </c>
      <c r="C219" t="s">
        <v>168</v>
      </c>
      <c r="D219">
        <v>41462004245</v>
      </c>
      <c r="E219" s="1">
        <v>46213.504077106481</v>
      </c>
      <c r="F219">
        <v>115</v>
      </c>
      <c r="G219">
        <v>3</v>
      </c>
      <c r="H219" t="s">
        <v>4</v>
      </c>
      <c r="I219" t="s">
        <v>5</v>
      </c>
      <c r="J219" t="s">
        <v>6</v>
      </c>
      <c r="K219">
        <v>6666272</v>
      </c>
      <c r="L219">
        <v>180002</v>
      </c>
      <c r="M219">
        <v>80000</v>
      </c>
      <c r="N219" t="s">
        <v>7</v>
      </c>
      <c r="O219">
        <v>1032439.7</v>
      </c>
      <c r="P219" t="s">
        <v>116</v>
      </c>
      <c r="Q219" t="s">
        <v>8</v>
      </c>
      <c r="R219">
        <v>110380607</v>
      </c>
      <c r="S219">
        <v>110380607</v>
      </c>
      <c r="T219">
        <v>110380607</v>
      </c>
      <c r="U219" t="s">
        <v>117</v>
      </c>
      <c r="V219" t="s">
        <v>15</v>
      </c>
    </row>
    <row r="220" spans="1:22" x14ac:dyDescent="0.25">
      <c r="A220">
        <v>41464172459</v>
      </c>
      <c r="B220" t="s">
        <v>10</v>
      </c>
      <c r="C220" t="s">
        <v>168</v>
      </c>
      <c r="D220">
        <v>41464172459</v>
      </c>
      <c r="E220" s="1">
        <v>46214.725021134262</v>
      </c>
      <c r="F220">
        <v>115</v>
      </c>
      <c r="G220">
        <v>3</v>
      </c>
      <c r="H220" t="s">
        <v>4</v>
      </c>
      <c r="I220" t="s">
        <v>5</v>
      </c>
      <c r="J220" t="s">
        <v>6</v>
      </c>
      <c r="K220">
        <v>54044309</v>
      </c>
      <c r="L220">
        <v>90643</v>
      </c>
      <c r="M220">
        <v>49000</v>
      </c>
      <c r="N220" t="s">
        <v>7</v>
      </c>
      <c r="O220">
        <v>632369.31999999995</v>
      </c>
      <c r="P220" t="s">
        <v>174</v>
      </c>
      <c r="Q220" t="s">
        <v>8</v>
      </c>
      <c r="R220">
        <v>114795784</v>
      </c>
      <c r="S220">
        <v>114795784</v>
      </c>
      <c r="T220">
        <v>114795784</v>
      </c>
      <c r="U220" t="s">
        <v>170</v>
      </c>
      <c r="V220" t="s">
        <v>15</v>
      </c>
    </row>
    <row r="221" spans="1:22" x14ac:dyDescent="0.25">
      <c r="A221">
        <v>41463745341</v>
      </c>
      <c r="B221" t="s">
        <v>2</v>
      </c>
      <c r="C221" t="s">
        <v>168</v>
      </c>
      <c r="D221">
        <v>41463745341</v>
      </c>
      <c r="E221" s="1">
        <v>46214.552352708335</v>
      </c>
      <c r="F221">
        <v>115</v>
      </c>
      <c r="G221">
        <v>3</v>
      </c>
      <c r="H221" t="s">
        <v>143</v>
      </c>
      <c r="I221" t="s">
        <v>5</v>
      </c>
      <c r="J221" t="s">
        <v>6</v>
      </c>
      <c r="K221">
        <v>10235121</v>
      </c>
      <c r="L221">
        <v>403232</v>
      </c>
      <c r="M221">
        <v>80000</v>
      </c>
      <c r="N221" t="s">
        <v>7</v>
      </c>
      <c r="O221">
        <v>1032439.7</v>
      </c>
      <c r="P221" t="s">
        <v>144</v>
      </c>
      <c r="Q221" t="s">
        <v>8</v>
      </c>
      <c r="R221">
        <v>148525652</v>
      </c>
      <c r="S221">
        <v>148525652</v>
      </c>
      <c r="T221">
        <v>148525652</v>
      </c>
      <c r="U221" t="s">
        <v>145</v>
      </c>
      <c r="V221" t="s">
        <v>9</v>
      </c>
    </row>
    <row r="222" spans="1:22" x14ac:dyDescent="0.25">
      <c r="A222">
        <v>41463601364</v>
      </c>
      <c r="B222" t="s">
        <v>2</v>
      </c>
      <c r="C222" t="s">
        <v>168</v>
      </c>
      <c r="D222">
        <v>41463601364</v>
      </c>
      <c r="E222" s="1">
        <v>46214.504335254627</v>
      </c>
      <c r="F222">
        <v>115</v>
      </c>
      <c r="G222">
        <v>3</v>
      </c>
      <c r="H222" t="s">
        <v>19</v>
      </c>
      <c r="I222" t="s">
        <v>5</v>
      </c>
      <c r="J222" t="s">
        <v>6</v>
      </c>
      <c r="K222">
        <v>51396080</v>
      </c>
      <c r="L222">
        <v>404031</v>
      </c>
      <c r="M222">
        <v>100000</v>
      </c>
      <c r="N222" t="s">
        <v>7</v>
      </c>
      <c r="O222">
        <v>1290549.53</v>
      </c>
      <c r="P222" t="s">
        <v>17</v>
      </c>
      <c r="Q222" t="s">
        <v>8</v>
      </c>
      <c r="R222">
        <v>146573514</v>
      </c>
      <c r="S222">
        <v>146573514</v>
      </c>
      <c r="T222">
        <v>146573514</v>
      </c>
      <c r="U222" t="s">
        <v>18</v>
      </c>
      <c r="V222" t="s">
        <v>15</v>
      </c>
    </row>
    <row r="223" spans="1:22" x14ac:dyDescent="0.25">
      <c r="A223">
        <v>41463610727</v>
      </c>
      <c r="B223" t="s">
        <v>2</v>
      </c>
      <c r="C223" t="s">
        <v>168</v>
      </c>
      <c r="D223">
        <v>41463610727</v>
      </c>
      <c r="E223" s="1">
        <v>46214.50736797454</v>
      </c>
      <c r="F223">
        <v>115</v>
      </c>
      <c r="G223">
        <v>3</v>
      </c>
      <c r="H223" t="s">
        <v>19</v>
      </c>
      <c r="I223" t="s">
        <v>5</v>
      </c>
      <c r="J223" t="s">
        <v>6</v>
      </c>
      <c r="K223">
        <v>51396080</v>
      </c>
      <c r="L223">
        <v>404031</v>
      </c>
      <c r="M223">
        <v>95000</v>
      </c>
      <c r="N223" t="s">
        <v>7</v>
      </c>
      <c r="O223">
        <v>1226022.05</v>
      </c>
      <c r="P223" t="s">
        <v>17</v>
      </c>
      <c r="Q223" t="s">
        <v>8</v>
      </c>
      <c r="R223">
        <v>146573514</v>
      </c>
      <c r="S223">
        <v>146573514</v>
      </c>
      <c r="T223">
        <v>146573514</v>
      </c>
      <c r="U223" t="s">
        <v>18</v>
      </c>
      <c r="V223" t="s">
        <v>15</v>
      </c>
    </row>
    <row r="224" spans="1:22" x14ac:dyDescent="0.25">
      <c r="A224">
        <v>41463594320</v>
      </c>
      <c r="B224" t="s">
        <v>10</v>
      </c>
      <c r="C224" t="s">
        <v>168</v>
      </c>
      <c r="D224">
        <v>41463594320</v>
      </c>
      <c r="E224" s="1">
        <v>46214.502113020833</v>
      </c>
      <c r="F224">
        <v>115</v>
      </c>
      <c r="G224">
        <v>3</v>
      </c>
      <c r="H224" t="s">
        <v>16</v>
      </c>
      <c r="I224" t="s">
        <v>5</v>
      </c>
      <c r="J224" t="s">
        <v>6</v>
      </c>
      <c r="K224">
        <v>57317232</v>
      </c>
      <c r="L224">
        <v>555010</v>
      </c>
      <c r="M224">
        <v>100000</v>
      </c>
      <c r="N224" t="s">
        <v>7</v>
      </c>
      <c r="O224">
        <v>1290549.53</v>
      </c>
      <c r="P224" t="s">
        <v>17</v>
      </c>
      <c r="Q224" t="s">
        <v>8</v>
      </c>
      <c r="R224">
        <v>146573514</v>
      </c>
      <c r="S224">
        <v>146573514</v>
      </c>
      <c r="T224">
        <v>146573514</v>
      </c>
      <c r="U224" t="s">
        <v>18</v>
      </c>
      <c r="V224" t="s">
        <v>15</v>
      </c>
    </row>
    <row r="225" spans="1:22" x14ac:dyDescent="0.25">
      <c r="A225">
        <v>41463606609</v>
      </c>
      <c r="B225" t="s">
        <v>2</v>
      </c>
      <c r="C225" t="s">
        <v>168</v>
      </c>
      <c r="D225">
        <v>41463606609</v>
      </c>
      <c r="E225" s="1">
        <v>46214.506083831016</v>
      </c>
      <c r="F225">
        <v>115</v>
      </c>
      <c r="G225">
        <v>3</v>
      </c>
      <c r="H225" t="s">
        <v>16</v>
      </c>
      <c r="I225" t="s">
        <v>5</v>
      </c>
      <c r="J225" t="s">
        <v>6</v>
      </c>
      <c r="K225">
        <v>57317232</v>
      </c>
      <c r="L225">
        <v>555010</v>
      </c>
      <c r="M225">
        <v>100000</v>
      </c>
      <c r="N225" t="s">
        <v>7</v>
      </c>
      <c r="O225">
        <v>1290549.53</v>
      </c>
      <c r="P225" t="s">
        <v>17</v>
      </c>
      <c r="Q225" t="s">
        <v>8</v>
      </c>
      <c r="R225">
        <v>146573514</v>
      </c>
      <c r="S225">
        <v>146573514</v>
      </c>
      <c r="T225">
        <v>146573514</v>
      </c>
      <c r="U225" t="s">
        <v>18</v>
      </c>
      <c r="V225" t="s">
        <v>15</v>
      </c>
    </row>
    <row r="226" spans="1:22" x14ac:dyDescent="0.25">
      <c r="A226">
        <v>41463253599</v>
      </c>
      <c r="B226" t="s">
        <v>10</v>
      </c>
      <c r="C226" t="s">
        <v>168</v>
      </c>
      <c r="D226">
        <v>41463253599</v>
      </c>
      <c r="E226" s="1">
        <v>46214.292391076386</v>
      </c>
      <c r="F226">
        <v>115</v>
      </c>
      <c r="G226">
        <v>3</v>
      </c>
      <c r="H226" t="s">
        <v>4</v>
      </c>
      <c r="I226" t="s">
        <v>5</v>
      </c>
      <c r="J226" t="s">
        <v>6</v>
      </c>
      <c r="K226">
        <v>70368032</v>
      </c>
      <c r="L226">
        <v>165873</v>
      </c>
      <c r="M226">
        <v>100000</v>
      </c>
      <c r="N226" t="s">
        <v>7</v>
      </c>
      <c r="O226">
        <v>1290549.53</v>
      </c>
      <c r="P226" t="s">
        <v>79</v>
      </c>
      <c r="Q226" t="s">
        <v>8</v>
      </c>
      <c r="R226">
        <v>101421915</v>
      </c>
      <c r="S226">
        <v>101421915</v>
      </c>
      <c r="T226">
        <v>101421915</v>
      </c>
      <c r="U226" t="s">
        <v>80</v>
      </c>
      <c r="V226" t="s">
        <v>9</v>
      </c>
    </row>
    <row r="227" spans="1:22" x14ac:dyDescent="0.25">
      <c r="A227">
        <v>41466461015</v>
      </c>
      <c r="B227" t="s">
        <v>10</v>
      </c>
      <c r="C227" t="s">
        <v>168</v>
      </c>
      <c r="D227">
        <v>41466461015</v>
      </c>
      <c r="E227" s="1">
        <v>46216.558741689812</v>
      </c>
      <c r="F227">
        <v>115</v>
      </c>
      <c r="G227">
        <v>3</v>
      </c>
      <c r="H227" t="s">
        <v>49</v>
      </c>
      <c r="I227" t="s">
        <v>5</v>
      </c>
      <c r="J227" t="s">
        <v>6</v>
      </c>
      <c r="K227">
        <v>58219401</v>
      </c>
      <c r="L227">
        <v>230580</v>
      </c>
      <c r="M227">
        <v>60000</v>
      </c>
      <c r="N227" t="s">
        <v>7</v>
      </c>
      <c r="O227">
        <v>774329.78</v>
      </c>
      <c r="P227" t="s">
        <v>86</v>
      </c>
      <c r="Q227" t="s">
        <v>8</v>
      </c>
      <c r="R227">
        <v>135057461</v>
      </c>
      <c r="S227">
        <v>135057461</v>
      </c>
      <c r="T227">
        <v>135057461</v>
      </c>
      <c r="U227" t="s">
        <v>87</v>
      </c>
      <c r="V227" t="s">
        <v>15</v>
      </c>
    </row>
    <row r="228" spans="1:22" x14ac:dyDescent="0.25">
      <c r="A228">
        <v>41469373194</v>
      </c>
      <c r="B228" t="s">
        <v>10</v>
      </c>
      <c r="C228" t="s">
        <v>168</v>
      </c>
      <c r="D228">
        <v>41469373194</v>
      </c>
      <c r="E228" s="1">
        <v>46218.500676041665</v>
      </c>
      <c r="F228">
        <v>115</v>
      </c>
      <c r="G228">
        <v>3</v>
      </c>
      <c r="H228" t="s">
        <v>175</v>
      </c>
      <c r="I228" t="s">
        <v>5</v>
      </c>
      <c r="J228" t="s">
        <v>6</v>
      </c>
      <c r="K228">
        <v>91378988</v>
      </c>
      <c r="L228">
        <v>403416</v>
      </c>
      <c r="M228">
        <v>76990</v>
      </c>
      <c r="N228" t="s">
        <v>7</v>
      </c>
      <c r="O228">
        <v>993594.11</v>
      </c>
      <c r="P228" t="s">
        <v>176</v>
      </c>
      <c r="Q228" t="s">
        <v>8</v>
      </c>
      <c r="R228">
        <v>148071459</v>
      </c>
      <c r="S228">
        <v>148071459</v>
      </c>
      <c r="T228">
        <v>148071459</v>
      </c>
      <c r="U228" t="s">
        <v>177</v>
      </c>
      <c r="V228" t="s">
        <v>178</v>
      </c>
    </row>
    <row r="229" spans="1:22" x14ac:dyDescent="0.25">
      <c r="A229">
        <v>41473974572</v>
      </c>
      <c r="B229" t="s">
        <v>10</v>
      </c>
      <c r="C229" t="s">
        <v>168</v>
      </c>
      <c r="D229">
        <v>41473974572</v>
      </c>
      <c r="E229" s="1">
        <v>46220.77032113426</v>
      </c>
      <c r="F229">
        <v>115</v>
      </c>
      <c r="G229">
        <v>3</v>
      </c>
      <c r="H229" t="s">
        <v>4</v>
      </c>
      <c r="I229" t="s">
        <v>5</v>
      </c>
      <c r="J229" t="s">
        <v>6</v>
      </c>
      <c r="K229">
        <v>63246516</v>
      </c>
      <c r="L229">
        <v>608407</v>
      </c>
      <c r="M229">
        <v>90000</v>
      </c>
      <c r="N229" t="s">
        <v>7</v>
      </c>
      <c r="O229">
        <v>1161494.57</v>
      </c>
      <c r="P229" t="s">
        <v>94</v>
      </c>
      <c r="Q229" t="s">
        <v>8</v>
      </c>
      <c r="R229">
        <v>123075137</v>
      </c>
      <c r="S229">
        <v>123075137</v>
      </c>
      <c r="T229">
        <v>123075137</v>
      </c>
      <c r="U229" t="s">
        <v>95</v>
      </c>
      <c r="V229" t="s">
        <v>9</v>
      </c>
    </row>
    <row r="230" spans="1:22" x14ac:dyDescent="0.25">
      <c r="A230">
        <v>41473704457</v>
      </c>
      <c r="B230" t="s">
        <v>10</v>
      </c>
      <c r="C230" t="s">
        <v>168</v>
      </c>
      <c r="D230">
        <v>41473704457</v>
      </c>
      <c r="E230" s="1">
        <v>46220.664305046295</v>
      </c>
      <c r="F230">
        <v>115</v>
      </c>
      <c r="G230">
        <v>3</v>
      </c>
      <c r="H230" t="s">
        <v>4</v>
      </c>
      <c r="I230" t="s">
        <v>5</v>
      </c>
      <c r="J230" t="s">
        <v>6</v>
      </c>
      <c r="K230">
        <v>26406586</v>
      </c>
      <c r="L230">
        <v>608456</v>
      </c>
      <c r="M230">
        <v>85000</v>
      </c>
      <c r="N230" t="s">
        <v>7</v>
      </c>
      <c r="O230">
        <v>1096967.19</v>
      </c>
      <c r="P230" t="s">
        <v>98</v>
      </c>
      <c r="Q230" t="s">
        <v>8</v>
      </c>
      <c r="R230">
        <v>96716188</v>
      </c>
      <c r="S230">
        <v>96716188</v>
      </c>
      <c r="T230">
        <v>96716188</v>
      </c>
      <c r="U230" t="s">
        <v>99</v>
      </c>
      <c r="V230" t="s">
        <v>9</v>
      </c>
    </row>
    <row r="231" spans="1:22" x14ac:dyDescent="0.25">
      <c r="A231">
        <v>41480028554</v>
      </c>
      <c r="B231" t="s">
        <v>10</v>
      </c>
      <c r="C231" t="s">
        <v>168</v>
      </c>
      <c r="D231">
        <v>41480028554</v>
      </c>
      <c r="E231" s="1">
        <v>46224.750596863429</v>
      </c>
      <c r="F231">
        <v>115</v>
      </c>
      <c r="G231">
        <v>3</v>
      </c>
      <c r="H231" t="s">
        <v>4</v>
      </c>
      <c r="I231" t="s">
        <v>5</v>
      </c>
      <c r="J231" t="s">
        <v>6</v>
      </c>
      <c r="K231">
        <v>58200138</v>
      </c>
      <c r="L231">
        <v>608407</v>
      </c>
      <c r="M231">
        <v>50000</v>
      </c>
      <c r="N231" t="s">
        <v>7</v>
      </c>
      <c r="O231">
        <v>649241.99</v>
      </c>
      <c r="P231" t="s">
        <v>100</v>
      </c>
      <c r="Q231" t="s">
        <v>8</v>
      </c>
      <c r="R231">
        <v>105353056</v>
      </c>
      <c r="S231">
        <v>105353056</v>
      </c>
      <c r="T231">
        <v>105353056</v>
      </c>
      <c r="U231" t="s">
        <v>101</v>
      </c>
      <c r="V231" t="s">
        <v>9</v>
      </c>
    </row>
    <row r="232" spans="1:22" x14ac:dyDescent="0.25">
      <c r="A232">
        <v>41483437207</v>
      </c>
      <c r="B232" t="s">
        <v>10</v>
      </c>
      <c r="C232" t="s">
        <v>168</v>
      </c>
      <c r="D232">
        <v>41483437207</v>
      </c>
      <c r="E232" s="1">
        <v>46226.782014652781</v>
      </c>
      <c r="F232">
        <v>115</v>
      </c>
      <c r="G232">
        <v>3</v>
      </c>
      <c r="H232" t="s">
        <v>4</v>
      </c>
      <c r="I232" t="s">
        <v>5</v>
      </c>
      <c r="J232" t="s">
        <v>6</v>
      </c>
      <c r="K232">
        <v>54088624</v>
      </c>
      <c r="L232">
        <v>90643</v>
      </c>
      <c r="M232">
        <v>75000</v>
      </c>
      <c r="N232" t="s">
        <v>7</v>
      </c>
      <c r="O232">
        <v>973862.99</v>
      </c>
      <c r="P232" t="s">
        <v>281</v>
      </c>
      <c r="Q232" t="s">
        <v>8</v>
      </c>
      <c r="R232">
        <v>108965344</v>
      </c>
      <c r="S232">
        <v>108965344</v>
      </c>
      <c r="T232">
        <v>108965344</v>
      </c>
      <c r="U232" t="s">
        <v>282</v>
      </c>
      <c r="V232" t="s">
        <v>9</v>
      </c>
    </row>
    <row r="233" spans="1:22" x14ac:dyDescent="0.25">
      <c r="A233">
        <v>41483254891</v>
      </c>
      <c r="B233" t="s">
        <v>10</v>
      </c>
      <c r="C233" t="s">
        <v>168</v>
      </c>
      <c r="D233">
        <v>41483254891</v>
      </c>
      <c r="E233" s="1">
        <v>46226.731042407409</v>
      </c>
      <c r="F233">
        <v>115</v>
      </c>
      <c r="G233">
        <v>3</v>
      </c>
      <c r="H233" t="s">
        <v>4</v>
      </c>
      <c r="I233" t="s">
        <v>5</v>
      </c>
      <c r="J233" t="s">
        <v>6</v>
      </c>
      <c r="K233">
        <v>73114139</v>
      </c>
      <c r="L233">
        <v>406437</v>
      </c>
      <c r="M233">
        <v>100000</v>
      </c>
      <c r="N233" t="s">
        <v>7</v>
      </c>
      <c r="O233">
        <v>1298483.98</v>
      </c>
      <c r="P233" t="s">
        <v>36</v>
      </c>
      <c r="Q233" t="s">
        <v>8</v>
      </c>
      <c r="R233">
        <v>119228773</v>
      </c>
      <c r="S233">
        <v>119228773</v>
      </c>
      <c r="T233">
        <v>119228773</v>
      </c>
      <c r="U233" t="s">
        <v>37</v>
      </c>
      <c r="V233" t="s">
        <v>15</v>
      </c>
    </row>
    <row r="234" spans="1:22" x14ac:dyDescent="0.25">
      <c r="A234">
        <v>41483244960</v>
      </c>
      <c r="B234" t="s">
        <v>106</v>
      </c>
      <c r="C234" t="s">
        <v>168</v>
      </c>
      <c r="D234">
        <v>41483244960</v>
      </c>
      <c r="E234" s="1">
        <v>46226.727365856481</v>
      </c>
      <c r="F234">
        <v>115</v>
      </c>
      <c r="G234">
        <v>3</v>
      </c>
      <c r="H234" t="s">
        <v>4</v>
      </c>
      <c r="I234" t="s">
        <v>5</v>
      </c>
      <c r="J234" t="s">
        <v>6</v>
      </c>
      <c r="K234">
        <v>17554591</v>
      </c>
      <c r="L234">
        <v>40339</v>
      </c>
      <c r="M234">
        <v>50000</v>
      </c>
      <c r="N234" t="s">
        <v>7</v>
      </c>
      <c r="O234">
        <v>649241.99</v>
      </c>
      <c r="P234" t="s">
        <v>107</v>
      </c>
      <c r="Q234" t="s">
        <v>8</v>
      </c>
      <c r="R234">
        <v>105870745</v>
      </c>
      <c r="S234">
        <v>105870745</v>
      </c>
      <c r="T234">
        <v>105870745</v>
      </c>
      <c r="U234" t="s">
        <v>108</v>
      </c>
      <c r="V234" t="s">
        <v>9</v>
      </c>
    </row>
    <row r="235" spans="1:22" x14ac:dyDescent="0.25">
      <c r="A235">
        <v>41483063386</v>
      </c>
      <c r="B235" t="s">
        <v>2</v>
      </c>
      <c r="C235" t="s">
        <v>168</v>
      </c>
      <c r="D235">
        <v>41483063386</v>
      </c>
      <c r="E235" s="1">
        <v>46226.662101180555</v>
      </c>
      <c r="F235">
        <v>115</v>
      </c>
      <c r="G235">
        <v>3</v>
      </c>
      <c r="H235" t="s">
        <v>4</v>
      </c>
      <c r="I235" t="s">
        <v>5</v>
      </c>
      <c r="J235" t="s">
        <v>6</v>
      </c>
      <c r="K235">
        <v>83372888</v>
      </c>
      <c r="L235">
        <v>608407</v>
      </c>
      <c r="M235">
        <v>80000</v>
      </c>
      <c r="N235" t="s">
        <v>7</v>
      </c>
      <c r="O235">
        <v>1038787.21</v>
      </c>
      <c r="P235" t="s">
        <v>38</v>
      </c>
      <c r="Q235" t="s">
        <v>8</v>
      </c>
      <c r="R235">
        <v>122720485</v>
      </c>
      <c r="S235">
        <v>122720485</v>
      </c>
      <c r="T235">
        <v>122720485</v>
      </c>
      <c r="U235" t="s">
        <v>39</v>
      </c>
      <c r="V235" t="s">
        <v>9</v>
      </c>
    </row>
    <row r="236" spans="1:22" x14ac:dyDescent="0.25">
      <c r="A236">
        <v>41482548652</v>
      </c>
      <c r="B236" t="s">
        <v>10</v>
      </c>
      <c r="C236" t="s">
        <v>168</v>
      </c>
      <c r="D236">
        <v>41482548652</v>
      </c>
      <c r="E236" s="1">
        <v>46226.492796134262</v>
      </c>
      <c r="F236">
        <v>115</v>
      </c>
      <c r="G236">
        <v>3</v>
      </c>
      <c r="H236" t="s">
        <v>20</v>
      </c>
      <c r="I236" t="s">
        <v>5</v>
      </c>
      <c r="J236" t="s">
        <v>6</v>
      </c>
      <c r="K236">
        <v>13139066</v>
      </c>
      <c r="L236">
        <v>804887</v>
      </c>
      <c r="M236">
        <v>90000</v>
      </c>
      <c r="N236" t="s">
        <v>7</v>
      </c>
      <c r="O236">
        <v>1168635.6399999999</v>
      </c>
      <c r="P236" t="s">
        <v>21</v>
      </c>
      <c r="Q236" t="s">
        <v>8</v>
      </c>
      <c r="R236">
        <v>135198109</v>
      </c>
      <c r="S236">
        <v>135198109</v>
      </c>
      <c r="T236">
        <v>135198109</v>
      </c>
      <c r="U236" t="s">
        <v>22</v>
      </c>
      <c r="V236" t="s">
        <v>15</v>
      </c>
    </row>
    <row r="237" spans="1:22" x14ac:dyDescent="0.25">
      <c r="A237">
        <v>41486213067</v>
      </c>
      <c r="B237" t="s">
        <v>2</v>
      </c>
      <c r="C237" t="s">
        <v>168</v>
      </c>
      <c r="D237">
        <v>41486213067</v>
      </c>
      <c r="E237" s="1">
        <v>46227.852821099536</v>
      </c>
      <c r="F237">
        <v>115</v>
      </c>
      <c r="G237">
        <v>3</v>
      </c>
      <c r="H237" t="s">
        <v>4</v>
      </c>
      <c r="I237" t="s">
        <v>5</v>
      </c>
      <c r="J237" t="s">
        <v>6</v>
      </c>
      <c r="K237">
        <v>26180505</v>
      </c>
      <c r="L237">
        <v>608407</v>
      </c>
      <c r="M237">
        <v>100000</v>
      </c>
      <c r="N237" t="s">
        <v>7</v>
      </c>
      <c r="O237">
        <v>1298483.98</v>
      </c>
      <c r="P237" t="s">
        <v>216</v>
      </c>
      <c r="Q237" t="s">
        <v>8</v>
      </c>
      <c r="R237">
        <v>126118058</v>
      </c>
      <c r="S237">
        <v>126118058</v>
      </c>
      <c r="T237">
        <v>126118058</v>
      </c>
      <c r="U237" t="s">
        <v>264</v>
      </c>
      <c r="V237" t="s">
        <v>15</v>
      </c>
    </row>
    <row r="238" spans="1:22" x14ac:dyDescent="0.25">
      <c r="A238">
        <v>41486220957</v>
      </c>
      <c r="B238" t="s">
        <v>2</v>
      </c>
      <c r="C238" t="s">
        <v>168</v>
      </c>
      <c r="D238">
        <v>41486220957</v>
      </c>
      <c r="E238" s="1">
        <v>46227.856335497687</v>
      </c>
      <c r="F238">
        <v>115</v>
      </c>
      <c r="G238">
        <v>3</v>
      </c>
      <c r="H238" t="s">
        <v>4</v>
      </c>
      <c r="I238" t="s">
        <v>5</v>
      </c>
      <c r="J238" t="s">
        <v>6</v>
      </c>
      <c r="K238">
        <v>26180505</v>
      </c>
      <c r="L238">
        <v>608407</v>
      </c>
      <c r="M238">
        <v>100000</v>
      </c>
      <c r="N238" t="s">
        <v>7</v>
      </c>
      <c r="O238">
        <v>1298483.98</v>
      </c>
      <c r="P238" t="s">
        <v>265</v>
      </c>
      <c r="Q238" t="s">
        <v>8</v>
      </c>
      <c r="R238">
        <v>126118058</v>
      </c>
      <c r="S238">
        <v>126118058</v>
      </c>
      <c r="T238">
        <v>126118058</v>
      </c>
      <c r="U238" t="s">
        <v>264</v>
      </c>
      <c r="V238" t="s">
        <v>15</v>
      </c>
    </row>
    <row r="239" spans="1:22" x14ac:dyDescent="0.25">
      <c r="A239">
        <v>41486224304</v>
      </c>
      <c r="B239" t="s">
        <v>2</v>
      </c>
      <c r="C239" t="s">
        <v>168</v>
      </c>
      <c r="D239">
        <v>41486224304</v>
      </c>
      <c r="E239" s="1">
        <v>46227.857881863427</v>
      </c>
      <c r="F239">
        <v>115</v>
      </c>
      <c r="G239">
        <v>3</v>
      </c>
      <c r="H239" t="s">
        <v>4</v>
      </c>
      <c r="I239" t="s">
        <v>5</v>
      </c>
      <c r="J239" t="s">
        <v>6</v>
      </c>
      <c r="K239">
        <v>26180505</v>
      </c>
      <c r="L239">
        <v>608407</v>
      </c>
      <c r="M239">
        <v>100000</v>
      </c>
      <c r="N239" t="s">
        <v>7</v>
      </c>
      <c r="O239">
        <v>1298483.98</v>
      </c>
      <c r="P239" t="s">
        <v>265</v>
      </c>
      <c r="Q239" t="s">
        <v>8</v>
      </c>
      <c r="R239">
        <v>126118058</v>
      </c>
      <c r="S239">
        <v>126118058</v>
      </c>
      <c r="T239">
        <v>126118058</v>
      </c>
      <c r="U239" t="s">
        <v>264</v>
      </c>
      <c r="V239" t="s">
        <v>15</v>
      </c>
    </row>
    <row r="240" spans="1:22" x14ac:dyDescent="0.25">
      <c r="A240">
        <v>41486216916</v>
      </c>
      <c r="B240" t="s">
        <v>2</v>
      </c>
      <c r="C240" t="s">
        <v>168</v>
      </c>
      <c r="D240">
        <v>41486216916</v>
      </c>
      <c r="E240" s="1">
        <v>46227.854579432867</v>
      </c>
      <c r="F240">
        <v>115</v>
      </c>
      <c r="G240">
        <v>3</v>
      </c>
      <c r="H240" t="s">
        <v>4</v>
      </c>
      <c r="I240" t="s">
        <v>5</v>
      </c>
      <c r="J240" t="s">
        <v>6</v>
      </c>
      <c r="K240">
        <v>26180505</v>
      </c>
      <c r="L240">
        <v>608407</v>
      </c>
      <c r="M240">
        <v>100000</v>
      </c>
      <c r="N240" t="s">
        <v>7</v>
      </c>
      <c r="O240">
        <v>1298483.98</v>
      </c>
      <c r="P240" t="s">
        <v>216</v>
      </c>
      <c r="Q240" t="s">
        <v>8</v>
      </c>
      <c r="R240">
        <v>126118058</v>
      </c>
      <c r="S240">
        <v>126118058</v>
      </c>
      <c r="T240">
        <v>126118058</v>
      </c>
      <c r="U240" t="s">
        <v>264</v>
      </c>
      <c r="V240" t="s">
        <v>15</v>
      </c>
    </row>
    <row r="241" spans="1:22" x14ac:dyDescent="0.25">
      <c r="A241">
        <v>41485691443</v>
      </c>
      <c r="B241" t="s">
        <v>10</v>
      </c>
      <c r="C241" t="s">
        <v>168</v>
      </c>
      <c r="D241">
        <v>41485691443</v>
      </c>
      <c r="E241" s="1">
        <v>46227.673347314812</v>
      </c>
      <c r="F241">
        <v>115</v>
      </c>
      <c r="G241">
        <v>3</v>
      </c>
      <c r="H241" t="s">
        <v>4</v>
      </c>
      <c r="I241" t="s">
        <v>5</v>
      </c>
      <c r="J241" t="s">
        <v>6</v>
      </c>
      <c r="K241">
        <v>81635056</v>
      </c>
      <c r="L241">
        <v>406437</v>
      </c>
      <c r="M241">
        <v>50000</v>
      </c>
      <c r="N241" t="s">
        <v>7</v>
      </c>
      <c r="O241">
        <v>649241.99</v>
      </c>
      <c r="P241" t="s">
        <v>351</v>
      </c>
      <c r="Q241" t="s">
        <v>8</v>
      </c>
      <c r="R241">
        <v>121862155</v>
      </c>
      <c r="S241">
        <v>121862155</v>
      </c>
      <c r="T241">
        <v>121862155</v>
      </c>
      <c r="U241" t="s">
        <v>352</v>
      </c>
      <c r="V241" t="s">
        <v>9</v>
      </c>
    </row>
    <row r="242" spans="1:22" x14ac:dyDescent="0.25">
      <c r="A242">
        <v>41488362553</v>
      </c>
      <c r="B242" t="s">
        <v>10</v>
      </c>
      <c r="C242" t="s">
        <v>168</v>
      </c>
      <c r="D242">
        <v>41488362553</v>
      </c>
      <c r="E242" s="1">
        <v>46229.419012523147</v>
      </c>
      <c r="F242">
        <v>115</v>
      </c>
      <c r="G242">
        <v>3</v>
      </c>
      <c r="H242" t="s">
        <v>4</v>
      </c>
      <c r="I242" t="s">
        <v>5</v>
      </c>
      <c r="J242" t="s">
        <v>6</v>
      </c>
      <c r="K242">
        <v>12647717</v>
      </c>
      <c r="L242">
        <v>608407</v>
      </c>
      <c r="M242">
        <v>75000</v>
      </c>
      <c r="N242" t="s">
        <v>7</v>
      </c>
      <c r="O242">
        <v>973862.99</v>
      </c>
      <c r="P242" t="s">
        <v>353</v>
      </c>
      <c r="Q242" t="s">
        <v>8</v>
      </c>
      <c r="R242">
        <v>116134032</v>
      </c>
      <c r="S242">
        <v>116134032</v>
      </c>
      <c r="T242">
        <v>116134032</v>
      </c>
      <c r="U242" t="s">
        <v>354</v>
      </c>
      <c r="V242" t="s">
        <v>15</v>
      </c>
    </row>
    <row r="243" spans="1:22" x14ac:dyDescent="0.25">
      <c r="A243">
        <v>41493575842</v>
      </c>
      <c r="B243" t="s">
        <v>10</v>
      </c>
      <c r="C243" t="s">
        <v>168</v>
      </c>
      <c r="D243">
        <v>41493575842</v>
      </c>
      <c r="E243" s="1">
        <v>46231.883915451392</v>
      </c>
      <c r="F243">
        <v>115</v>
      </c>
      <c r="G243">
        <v>3</v>
      </c>
      <c r="H243" t="s">
        <v>4</v>
      </c>
      <c r="I243" t="s">
        <v>5</v>
      </c>
      <c r="J243" t="s">
        <v>6</v>
      </c>
      <c r="K243">
        <v>13117510</v>
      </c>
      <c r="L243">
        <v>608407</v>
      </c>
      <c r="M243">
        <v>100000</v>
      </c>
      <c r="N243" t="s">
        <v>7</v>
      </c>
      <c r="O243">
        <v>1298483.98</v>
      </c>
      <c r="P243" t="s">
        <v>268</v>
      </c>
      <c r="Q243" t="s">
        <v>8</v>
      </c>
      <c r="R243">
        <v>119625572</v>
      </c>
      <c r="S243">
        <v>119625572</v>
      </c>
      <c r="T243">
        <v>119625572</v>
      </c>
      <c r="U243" t="s">
        <v>269</v>
      </c>
      <c r="V243" t="s">
        <v>9</v>
      </c>
    </row>
    <row r="244" spans="1:22" x14ac:dyDescent="0.25">
      <c r="A244">
        <v>41492875280</v>
      </c>
      <c r="B244" t="s">
        <v>10</v>
      </c>
      <c r="C244" t="s">
        <v>168</v>
      </c>
      <c r="D244">
        <v>41492875280</v>
      </c>
      <c r="E244" s="1">
        <v>46231.613631250002</v>
      </c>
      <c r="F244">
        <v>115</v>
      </c>
      <c r="G244">
        <v>3</v>
      </c>
      <c r="H244" t="s">
        <v>4</v>
      </c>
      <c r="I244" t="s">
        <v>5</v>
      </c>
      <c r="J244" t="s">
        <v>6</v>
      </c>
      <c r="K244">
        <v>93115724</v>
      </c>
      <c r="L244">
        <v>609204</v>
      </c>
      <c r="M244">
        <v>80000</v>
      </c>
      <c r="N244" t="s">
        <v>7</v>
      </c>
      <c r="O244">
        <v>1038787.21</v>
      </c>
      <c r="P244" t="s">
        <v>285</v>
      </c>
      <c r="Q244" t="s">
        <v>8</v>
      </c>
      <c r="R244">
        <v>140114752</v>
      </c>
      <c r="S244">
        <v>140114752</v>
      </c>
      <c r="T244">
        <v>140114752</v>
      </c>
      <c r="U244" t="s">
        <v>286</v>
      </c>
      <c r="V244" t="s">
        <v>9</v>
      </c>
    </row>
    <row r="245" spans="1:22" x14ac:dyDescent="0.25">
      <c r="A245">
        <v>41494751270</v>
      </c>
      <c r="B245" t="s">
        <v>10</v>
      </c>
      <c r="C245" t="s">
        <v>168</v>
      </c>
      <c r="D245">
        <v>41494751270</v>
      </c>
      <c r="E245" s="1">
        <v>46232.584292164349</v>
      </c>
      <c r="F245">
        <v>115</v>
      </c>
      <c r="G245">
        <v>3</v>
      </c>
      <c r="H245" t="s">
        <v>4</v>
      </c>
      <c r="I245" t="s">
        <v>5</v>
      </c>
      <c r="J245" t="s">
        <v>6</v>
      </c>
      <c r="K245">
        <v>89260625</v>
      </c>
      <c r="L245">
        <v>230120</v>
      </c>
      <c r="M245">
        <v>75000</v>
      </c>
      <c r="N245" t="s">
        <v>7</v>
      </c>
      <c r="O245">
        <v>973862.99</v>
      </c>
      <c r="P245" t="s">
        <v>270</v>
      </c>
      <c r="Q245" t="s">
        <v>8</v>
      </c>
      <c r="R245">
        <v>110818184</v>
      </c>
      <c r="S245">
        <v>110818184</v>
      </c>
      <c r="T245">
        <v>110818184</v>
      </c>
      <c r="U245" t="s">
        <v>271</v>
      </c>
      <c r="V245" t="s">
        <v>15</v>
      </c>
    </row>
    <row r="246" spans="1:22" x14ac:dyDescent="0.25">
      <c r="A246">
        <v>41494217700</v>
      </c>
      <c r="B246" t="s">
        <v>10</v>
      </c>
      <c r="C246" t="s">
        <v>168</v>
      </c>
      <c r="D246">
        <v>41494217700</v>
      </c>
      <c r="E246" s="1">
        <v>46232.388965416663</v>
      </c>
      <c r="F246">
        <v>115</v>
      </c>
      <c r="G246">
        <v>3</v>
      </c>
      <c r="H246" t="s">
        <v>4</v>
      </c>
      <c r="I246" t="s">
        <v>5</v>
      </c>
      <c r="J246" t="s">
        <v>6</v>
      </c>
      <c r="K246">
        <v>89260625</v>
      </c>
      <c r="L246">
        <v>230120</v>
      </c>
      <c r="M246">
        <v>75000</v>
      </c>
      <c r="N246" t="s">
        <v>7</v>
      </c>
      <c r="O246">
        <v>973862.99</v>
      </c>
      <c r="P246" t="s">
        <v>270</v>
      </c>
      <c r="Q246" t="s">
        <v>8</v>
      </c>
      <c r="R246">
        <v>110818184</v>
      </c>
      <c r="S246">
        <v>110818184</v>
      </c>
      <c r="T246">
        <v>110818184</v>
      </c>
      <c r="U246" t="s">
        <v>271</v>
      </c>
      <c r="V246" t="s">
        <v>15</v>
      </c>
    </row>
    <row r="247" spans="1:22" x14ac:dyDescent="0.25">
      <c r="A247">
        <v>41499878714</v>
      </c>
      <c r="B247" t="s">
        <v>10</v>
      </c>
      <c r="C247" t="s">
        <v>168</v>
      </c>
      <c r="D247">
        <v>41499878714</v>
      </c>
      <c r="E247" s="1">
        <v>46235.681359004629</v>
      </c>
      <c r="F247">
        <v>115</v>
      </c>
      <c r="G247">
        <v>3</v>
      </c>
      <c r="H247" t="s">
        <v>4</v>
      </c>
      <c r="I247" t="s">
        <v>5</v>
      </c>
      <c r="J247" t="s">
        <v>6</v>
      </c>
      <c r="K247">
        <v>10475655</v>
      </c>
      <c r="L247">
        <v>40831</v>
      </c>
      <c r="M247">
        <v>50000</v>
      </c>
      <c r="N247" t="s">
        <v>7</v>
      </c>
      <c r="O247">
        <v>649241.99</v>
      </c>
      <c r="P247" t="s">
        <v>300</v>
      </c>
      <c r="Q247" t="s">
        <v>8</v>
      </c>
      <c r="R247">
        <v>105779995</v>
      </c>
      <c r="S247">
        <v>105779995</v>
      </c>
      <c r="T247">
        <v>105779995</v>
      </c>
      <c r="U247" t="s">
        <v>301</v>
      </c>
      <c r="V247" t="s">
        <v>9</v>
      </c>
    </row>
    <row r="248" spans="1:22" x14ac:dyDescent="0.25">
      <c r="A248">
        <v>41502365582</v>
      </c>
      <c r="B248" t="s">
        <v>10</v>
      </c>
      <c r="C248" t="s">
        <v>168</v>
      </c>
      <c r="D248">
        <v>41502365582</v>
      </c>
      <c r="E248" s="1">
        <v>46237.546154699077</v>
      </c>
      <c r="F248">
        <v>115</v>
      </c>
      <c r="G248">
        <v>3</v>
      </c>
      <c r="H248" t="s">
        <v>4</v>
      </c>
      <c r="I248" t="s">
        <v>5</v>
      </c>
      <c r="J248" t="s">
        <v>6</v>
      </c>
      <c r="K248">
        <v>3649830</v>
      </c>
      <c r="L248">
        <v>203775</v>
      </c>
      <c r="M248">
        <v>100000</v>
      </c>
      <c r="N248" t="s">
        <v>7</v>
      </c>
      <c r="O248">
        <v>1298483.98</v>
      </c>
      <c r="P248" t="s">
        <v>330</v>
      </c>
      <c r="Q248" t="s">
        <v>8</v>
      </c>
      <c r="R248">
        <v>124780263</v>
      </c>
      <c r="S248">
        <v>124780263</v>
      </c>
      <c r="T248">
        <v>124780263</v>
      </c>
      <c r="U248" t="s">
        <v>331</v>
      </c>
      <c r="V248" t="s">
        <v>15</v>
      </c>
    </row>
    <row r="249" spans="1:22" x14ac:dyDescent="0.25">
      <c r="A249">
        <v>41504465001</v>
      </c>
      <c r="B249" t="s">
        <v>10</v>
      </c>
      <c r="C249" t="s">
        <v>168</v>
      </c>
      <c r="D249">
        <v>41504465001</v>
      </c>
      <c r="E249" s="1">
        <v>46238.723351250002</v>
      </c>
      <c r="F249">
        <v>115</v>
      </c>
      <c r="G249">
        <v>3</v>
      </c>
      <c r="H249" t="s">
        <v>272</v>
      </c>
      <c r="I249" t="s">
        <v>5</v>
      </c>
      <c r="J249" t="s">
        <v>6</v>
      </c>
      <c r="K249">
        <v>12571423</v>
      </c>
      <c r="L249">
        <v>165187</v>
      </c>
      <c r="M249">
        <v>100000</v>
      </c>
      <c r="N249" t="s">
        <v>7</v>
      </c>
      <c r="O249">
        <v>1298483.98</v>
      </c>
      <c r="P249" t="s">
        <v>273</v>
      </c>
      <c r="Q249" t="s">
        <v>8</v>
      </c>
      <c r="R249">
        <v>104115159</v>
      </c>
      <c r="S249">
        <v>104115159</v>
      </c>
      <c r="T249">
        <v>104115159</v>
      </c>
      <c r="U249" t="s">
        <v>274</v>
      </c>
      <c r="V249" t="s">
        <v>9</v>
      </c>
    </row>
    <row r="250" spans="1:22" x14ac:dyDescent="0.25">
      <c r="A250">
        <v>41504240618</v>
      </c>
      <c r="B250" t="s">
        <v>10</v>
      </c>
      <c r="C250" t="s">
        <v>168</v>
      </c>
      <c r="D250">
        <v>41504240618</v>
      </c>
      <c r="E250" s="1">
        <v>46238.64076490741</v>
      </c>
      <c r="F250">
        <v>115</v>
      </c>
      <c r="G250">
        <v>3</v>
      </c>
      <c r="H250" t="s">
        <v>49</v>
      </c>
      <c r="I250" t="s">
        <v>5</v>
      </c>
      <c r="J250" t="s">
        <v>6</v>
      </c>
      <c r="K250">
        <v>43082167</v>
      </c>
      <c r="L250">
        <v>230580</v>
      </c>
      <c r="M250">
        <v>100000</v>
      </c>
      <c r="N250" t="s">
        <v>7</v>
      </c>
      <c r="O250">
        <v>1298483.98</v>
      </c>
      <c r="P250" t="s">
        <v>308</v>
      </c>
      <c r="Q250" t="s">
        <v>8</v>
      </c>
      <c r="R250">
        <v>130575269</v>
      </c>
      <c r="S250">
        <v>130575269</v>
      </c>
      <c r="T250">
        <v>130575269</v>
      </c>
      <c r="U250" t="s">
        <v>309</v>
      </c>
      <c r="V250" t="s">
        <v>9</v>
      </c>
    </row>
    <row r="251" spans="1:22" x14ac:dyDescent="0.25">
      <c r="A251">
        <v>41506175931</v>
      </c>
      <c r="B251" t="s">
        <v>10</v>
      </c>
      <c r="C251" t="s">
        <v>168</v>
      </c>
      <c r="D251">
        <v>41506175931</v>
      </c>
      <c r="E251" s="1">
        <v>46239.801748020836</v>
      </c>
      <c r="F251">
        <v>115</v>
      </c>
      <c r="G251">
        <v>3</v>
      </c>
      <c r="H251" t="s">
        <v>311</v>
      </c>
      <c r="I251" t="s">
        <v>5</v>
      </c>
      <c r="J251" t="s">
        <v>6</v>
      </c>
      <c r="K251">
        <v>80166232</v>
      </c>
      <c r="L251">
        <v>159900</v>
      </c>
      <c r="M251">
        <v>100000</v>
      </c>
      <c r="N251" t="s">
        <v>7</v>
      </c>
      <c r="O251">
        <v>1298483.98</v>
      </c>
      <c r="P251" t="s">
        <v>45</v>
      </c>
      <c r="Q251" t="s">
        <v>8</v>
      </c>
      <c r="R251">
        <v>107953069</v>
      </c>
      <c r="S251">
        <v>107953069</v>
      </c>
      <c r="T251">
        <v>107953069</v>
      </c>
      <c r="U251" t="s">
        <v>312</v>
      </c>
      <c r="V251" t="s">
        <v>15</v>
      </c>
    </row>
    <row r="252" spans="1:22" x14ac:dyDescent="0.25">
      <c r="A252">
        <v>41506176989</v>
      </c>
      <c r="B252" t="s">
        <v>10</v>
      </c>
      <c r="C252" t="s">
        <v>168</v>
      </c>
      <c r="D252">
        <v>41506176989</v>
      </c>
      <c r="E252" s="1">
        <v>46239.802213900461</v>
      </c>
      <c r="F252">
        <v>115</v>
      </c>
      <c r="G252">
        <v>3</v>
      </c>
      <c r="H252" t="s">
        <v>311</v>
      </c>
      <c r="I252" t="s">
        <v>5</v>
      </c>
      <c r="J252" t="s">
        <v>6</v>
      </c>
      <c r="K252">
        <v>80166232</v>
      </c>
      <c r="L252">
        <v>159900</v>
      </c>
      <c r="M252">
        <v>100000</v>
      </c>
      <c r="N252" t="s">
        <v>7</v>
      </c>
      <c r="O252">
        <v>1298483.98</v>
      </c>
      <c r="P252" t="s">
        <v>45</v>
      </c>
      <c r="Q252" t="s">
        <v>8</v>
      </c>
      <c r="R252">
        <v>107953069</v>
      </c>
      <c r="S252">
        <v>107953069</v>
      </c>
      <c r="T252">
        <v>107953069</v>
      </c>
      <c r="U252" t="s">
        <v>312</v>
      </c>
      <c r="V252" t="s">
        <v>15</v>
      </c>
    </row>
    <row r="253" spans="1:22" x14ac:dyDescent="0.25">
      <c r="A253">
        <v>41507542452</v>
      </c>
      <c r="B253" t="s">
        <v>2</v>
      </c>
      <c r="C253" t="s">
        <v>168</v>
      </c>
      <c r="D253">
        <v>41507542452</v>
      </c>
      <c r="E253" s="1">
        <v>46240.723994270833</v>
      </c>
      <c r="F253">
        <v>115</v>
      </c>
      <c r="G253">
        <v>3</v>
      </c>
      <c r="H253" t="s">
        <v>4</v>
      </c>
      <c r="I253" t="s">
        <v>5</v>
      </c>
      <c r="J253" t="s">
        <v>6</v>
      </c>
      <c r="K253">
        <v>83770192</v>
      </c>
      <c r="L253">
        <v>203964</v>
      </c>
      <c r="M253">
        <v>99000</v>
      </c>
      <c r="N253" t="s">
        <v>7</v>
      </c>
      <c r="O253">
        <v>1285499.1399999999</v>
      </c>
      <c r="P253" t="s">
        <v>275</v>
      </c>
      <c r="Q253" t="s">
        <v>8</v>
      </c>
      <c r="R253">
        <v>111831293</v>
      </c>
      <c r="S253">
        <v>111831293</v>
      </c>
      <c r="T253">
        <v>111831293</v>
      </c>
      <c r="U253" t="s">
        <v>276</v>
      </c>
      <c r="V253" t="s">
        <v>9</v>
      </c>
    </row>
    <row r="254" spans="1:22" x14ac:dyDescent="0.25">
      <c r="A254">
        <v>41508714421</v>
      </c>
      <c r="B254" t="s">
        <v>10</v>
      </c>
      <c r="C254" t="s">
        <v>168</v>
      </c>
      <c r="D254">
        <v>41508714421</v>
      </c>
      <c r="E254" s="1">
        <v>46241.569795671297</v>
      </c>
      <c r="F254">
        <v>115</v>
      </c>
      <c r="G254">
        <v>3</v>
      </c>
      <c r="H254" t="s">
        <v>4</v>
      </c>
      <c r="I254" t="s">
        <v>5</v>
      </c>
      <c r="J254" t="s">
        <v>6</v>
      </c>
      <c r="K254">
        <v>83770192</v>
      </c>
      <c r="L254">
        <v>203964</v>
      </c>
      <c r="M254">
        <v>99000</v>
      </c>
      <c r="N254" t="s">
        <v>7</v>
      </c>
      <c r="O254">
        <v>1285499.1399999999</v>
      </c>
      <c r="P254" t="s">
        <v>275</v>
      </c>
      <c r="Q254" t="s">
        <v>8</v>
      </c>
      <c r="R254">
        <v>111831293</v>
      </c>
      <c r="S254">
        <v>111831293</v>
      </c>
      <c r="T254">
        <v>111831293</v>
      </c>
      <c r="U254" t="s">
        <v>276</v>
      </c>
      <c r="V254" t="s">
        <v>9</v>
      </c>
    </row>
    <row r="255" spans="1:22" x14ac:dyDescent="0.25">
      <c r="A255">
        <v>41508569084</v>
      </c>
      <c r="B255" t="s">
        <v>10</v>
      </c>
      <c r="C255" t="s">
        <v>168</v>
      </c>
      <c r="D255">
        <v>41508569084</v>
      </c>
      <c r="E255" s="1">
        <v>46241.525195162038</v>
      </c>
      <c r="F255">
        <v>115</v>
      </c>
      <c r="G255">
        <v>3</v>
      </c>
      <c r="H255" t="s">
        <v>4</v>
      </c>
      <c r="I255" t="s">
        <v>5</v>
      </c>
      <c r="J255" t="s">
        <v>6</v>
      </c>
      <c r="K255">
        <v>90673684</v>
      </c>
      <c r="L255">
        <v>204451</v>
      </c>
      <c r="M255">
        <v>49999</v>
      </c>
      <c r="N255" t="s">
        <v>7</v>
      </c>
      <c r="O255">
        <v>649229.06000000006</v>
      </c>
      <c r="P255" t="s">
        <v>277</v>
      </c>
      <c r="Q255" t="s">
        <v>8</v>
      </c>
      <c r="R255">
        <v>145002978</v>
      </c>
      <c r="S255">
        <v>145002978</v>
      </c>
      <c r="T255">
        <v>145002978</v>
      </c>
      <c r="U255" t="s">
        <v>278</v>
      </c>
      <c r="V255" t="s">
        <v>9</v>
      </c>
    </row>
    <row r="256" spans="1:22" x14ac:dyDescent="0.25">
      <c r="A256">
        <v>41512058559</v>
      </c>
      <c r="B256" t="s">
        <v>10</v>
      </c>
      <c r="C256" t="s">
        <v>168</v>
      </c>
      <c r="D256">
        <v>41512058559</v>
      </c>
      <c r="E256" s="1">
        <v>46243.834629398145</v>
      </c>
      <c r="F256">
        <v>115</v>
      </c>
      <c r="G256">
        <v>3</v>
      </c>
      <c r="H256" t="s">
        <v>4</v>
      </c>
      <c r="I256" t="s">
        <v>5</v>
      </c>
      <c r="J256" t="s">
        <v>6</v>
      </c>
      <c r="K256">
        <v>48042380</v>
      </c>
      <c r="L256">
        <v>70116</v>
      </c>
      <c r="M256">
        <v>53295</v>
      </c>
      <c r="N256" t="s">
        <v>7</v>
      </c>
      <c r="O256">
        <v>692027.05</v>
      </c>
      <c r="P256" t="s">
        <v>319</v>
      </c>
      <c r="Q256" t="s">
        <v>8</v>
      </c>
      <c r="R256">
        <v>128207073</v>
      </c>
      <c r="S256">
        <v>128207073</v>
      </c>
      <c r="T256">
        <v>128207073</v>
      </c>
      <c r="U256" t="s">
        <v>320</v>
      </c>
      <c r="V256" t="s">
        <v>321</v>
      </c>
    </row>
    <row r="257" spans="1:22" x14ac:dyDescent="0.25">
      <c r="A257">
        <v>41447045903</v>
      </c>
      <c r="B257" t="s">
        <v>10</v>
      </c>
      <c r="C257" t="s">
        <v>179</v>
      </c>
      <c r="D257">
        <v>41447045903</v>
      </c>
      <c r="E257" s="1">
        <v>46204.478944918985</v>
      </c>
      <c r="F257">
        <v>86</v>
      </c>
      <c r="G257">
        <v>3</v>
      </c>
      <c r="H257" t="s">
        <v>150</v>
      </c>
      <c r="I257" t="s">
        <v>151</v>
      </c>
      <c r="J257" t="s">
        <v>6</v>
      </c>
      <c r="K257">
        <v>82132121340001</v>
      </c>
      <c r="L257" t="s">
        <v>26</v>
      </c>
      <c r="M257">
        <v>1200000</v>
      </c>
      <c r="N257" t="s">
        <v>7</v>
      </c>
      <c r="O257">
        <v>15437647.35</v>
      </c>
      <c r="P257" t="s">
        <v>152</v>
      </c>
      <c r="Q257" t="s">
        <v>8</v>
      </c>
      <c r="R257">
        <v>115262164</v>
      </c>
      <c r="S257">
        <v>115262164</v>
      </c>
      <c r="T257">
        <v>115262164</v>
      </c>
      <c r="U257" t="s">
        <v>153</v>
      </c>
      <c r="V257" t="s">
        <v>9</v>
      </c>
    </row>
    <row r="258" spans="1:22" x14ac:dyDescent="0.25">
      <c r="A258">
        <v>41458876248</v>
      </c>
      <c r="B258" t="s">
        <v>10</v>
      </c>
      <c r="C258" t="s">
        <v>179</v>
      </c>
      <c r="D258">
        <v>41458876248</v>
      </c>
      <c r="E258" s="1">
        <v>46211.579239108796</v>
      </c>
      <c r="F258">
        <v>98</v>
      </c>
      <c r="G258">
        <v>3</v>
      </c>
      <c r="H258" t="s">
        <v>154</v>
      </c>
      <c r="I258" t="s">
        <v>155</v>
      </c>
      <c r="J258" t="s">
        <v>6</v>
      </c>
      <c r="K258" t="s">
        <v>156</v>
      </c>
      <c r="L258" t="s">
        <v>26</v>
      </c>
      <c r="M258">
        <v>45000</v>
      </c>
      <c r="N258" t="s">
        <v>27</v>
      </c>
      <c r="O258">
        <v>498940.53</v>
      </c>
      <c r="P258" t="s">
        <v>157</v>
      </c>
      <c r="Q258" t="s">
        <v>8</v>
      </c>
      <c r="R258">
        <v>134675180</v>
      </c>
      <c r="S258">
        <v>134675180</v>
      </c>
      <c r="T258">
        <v>134675180</v>
      </c>
      <c r="U258" t="s">
        <v>158</v>
      </c>
      <c r="V258" t="s">
        <v>9</v>
      </c>
    </row>
    <row r="259" spans="1:22" x14ac:dyDescent="0.25">
      <c r="A259">
        <v>41466483811</v>
      </c>
      <c r="B259" t="s">
        <v>10</v>
      </c>
      <c r="C259" t="s">
        <v>179</v>
      </c>
      <c r="D259">
        <v>41466483811</v>
      </c>
      <c r="E259" s="1">
        <v>46216.567181909719</v>
      </c>
      <c r="F259">
        <v>98</v>
      </c>
      <c r="G259">
        <v>3</v>
      </c>
      <c r="H259" t="s">
        <v>81</v>
      </c>
      <c r="I259" t="s">
        <v>82</v>
      </c>
      <c r="J259" t="s">
        <v>6</v>
      </c>
      <c r="K259" t="s">
        <v>83</v>
      </c>
      <c r="L259" t="s">
        <v>26</v>
      </c>
      <c r="M259">
        <v>116900</v>
      </c>
      <c r="N259" t="s">
        <v>27</v>
      </c>
      <c r="O259">
        <v>1296136.6100000001</v>
      </c>
      <c r="P259" t="s">
        <v>84</v>
      </c>
      <c r="Q259" t="s">
        <v>8</v>
      </c>
      <c r="R259">
        <v>109278002</v>
      </c>
      <c r="S259">
        <v>109278002</v>
      </c>
      <c r="T259">
        <v>109278002</v>
      </c>
      <c r="U259" t="s">
        <v>85</v>
      </c>
      <c r="V259" t="s">
        <v>28</v>
      </c>
    </row>
    <row r="260" spans="1:22" x14ac:dyDescent="0.25">
      <c r="A260">
        <v>41447499790</v>
      </c>
      <c r="B260" t="s">
        <v>2</v>
      </c>
      <c r="C260" t="s">
        <v>180</v>
      </c>
      <c r="D260">
        <v>41447499790</v>
      </c>
      <c r="E260" s="1">
        <v>46204.618747534725</v>
      </c>
      <c r="F260">
        <v>115</v>
      </c>
      <c r="G260">
        <v>3</v>
      </c>
      <c r="H260" t="s">
        <v>29</v>
      </c>
      <c r="I260" t="s">
        <v>5</v>
      </c>
      <c r="J260" t="s">
        <v>6</v>
      </c>
      <c r="K260">
        <v>23901216</v>
      </c>
      <c r="L260">
        <v>406377</v>
      </c>
      <c r="M260">
        <v>61286.07</v>
      </c>
      <c r="N260" t="s">
        <v>7</v>
      </c>
      <c r="O260">
        <v>788427.31</v>
      </c>
      <c r="P260" t="s">
        <v>30</v>
      </c>
      <c r="Q260" t="s">
        <v>8</v>
      </c>
      <c r="R260">
        <v>119309359</v>
      </c>
      <c r="S260">
        <v>119309359</v>
      </c>
      <c r="T260">
        <v>119309359</v>
      </c>
      <c r="U260" t="s">
        <v>31</v>
      </c>
      <c r="V260" t="s">
        <v>9</v>
      </c>
    </row>
    <row r="261" spans="1:22" x14ac:dyDescent="0.25">
      <c r="A261">
        <v>41447336274</v>
      </c>
      <c r="B261" t="s">
        <v>2</v>
      </c>
      <c r="C261" t="s">
        <v>180</v>
      </c>
      <c r="D261">
        <v>41447336274</v>
      </c>
      <c r="E261" s="1">
        <v>46204.566646631945</v>
      </c>
      <c r="F261">
        <v>115</v>
      </c>
      <c r="G261">
        <v>3</v>
      </c>
      <c r="H261" t="s">
        <v>4</v>
      </c>
      <c r="I261" t="s">
        <v>5</v>
      </c>
      <c r="J261" t="s">
        <v>6</v>
      </c>
      <c r="K261">
        <v>81595468</v>
      </c>
      <c r="L261">
        <v>406437</v>
      </c>
      <c r="M261">
        <v>30143.01</v>
      </c>
      <c r="N261" t="s">
        <v>7</v>
      </c>
      <c r="O261">
        <v>387781.01</v>
      </c>
      <c r="P261" t="s">
        <v>33</v>
      </c>
      <c r="Q261" t="s">
        <v>8</v>
      </c>
      <c r="R261">
        <v>119309359</v>
      </c>
      <c r="S261">
        <v>119309359</v>
      </c>
      <c r="T261">
        <v>119309359</v>
      </c>
      <c r="U261" t="s">
        <v>31</v>
      </c>
      <c r="V261" t="s">
        <v>9</v>
      </c>
    </row>
    <row r="262" spans="1:22" x14ac:dyDescent="0.25">
      <c r="A262">
        <v>41447338345</v>
      </c>
      <c r="B262" t="s">
        <v>2</v>
      </c>
      <c r="C262" t="s">
        <v>180</v>
      </c>
      <c r="D262">
        <v>41447338345</v>
      </c>
      <c r="E262" s="1">
        <v>46204.567366400464</v>
      </c>
      <c r="F262">
        <v>115</v>
      </c>
      <c r="G262">
        <v>3</v>
      </c>
      <c r="H262" t="s">
        <v>4</v>
      </c>
      <c r="I262" t="s">
        <v>5</v>
      </c>
      <c r="J262" t="s">
        <v>6</v>
      </c>
      <c r="K262">
        <v>42272574</v>
      </c>
      <c r="L262">
        <v>406437</v>
      </c>
      <c r="M262">
        <v>30143.03</v>
      </c>
      <c r="N262" t="s">
        <v>7</v>
      </c>
      <c r="O262">
        <v>387781.2</v>
      </c>
      <c r="P262" t="s">
        <v>32</v>
      </c>
      <c r="Q262" t="s">
        <v>8</v>
      </c>
      <c r="R262">
        <v>119309359</v>
      </c>
      <c r="S262">
        <v>119309359</v>
      </c>
      <c r="T262">
        <v>119309359</v>
      </c>
      <c r="U262" t="s">
        <v>31</v>
      </c>
      <c r="V262" t="s">
        <v>9</v>
      </c>
    </row>
    <row r="263" spans="1:22" x14ac:dyDescent="0.25">
      <c r="A263">
        <v>41473429686</v>
      </c>
      <c r="B263" t="s">
        <v>2</v>
      </c>
      <c r="C263" t="s">
        <v>180</v>
      </c>
      <c r="D263">
        <v>41473429686</v>
      </c>
      <c r="E263" s="1">
        <v>46220.569962905094</v>
      </c>
      <c r="F263">
        <v>115</v>
      </c>
      <c r="G263">
        <v>3</v>
      </c>
      <c r="H263" t="s">
        <v>4</v>
      </c>
      <c r="I263" t="s">
        <v>5</v>
      </c>
      <c r="J263" t="s">
        <v>6</v>
      </c>
      <c r="K263">
        <v>45103897</v>
      </c>
      <c r="L263">
        <v>609204</v>
      </c>
      <c r="M263">
        <v>25000</v>
      </c>
      <c r="N263" t="s">
        <v>7</v>
      </c>
      <c r="O263">
        <v>322637.40999999997</v>
      </c>
      <c r="P263" t="s">
        <v>181</v>
      </c>
      <c r="Q263" t="s">
        <v>8</v>
      </c>
      <c r="R263">
        <v>113366470</v>
      </c>
      <c r="S263">
        <v>113366470</v>
      </c>
      <c r="T263">
        <v>113366470</v>
      </c>
      <c r="U263" t="s">
        <v>182</v>
      </c>
      <c r="V263" t="s">
        <v>183</v>
      </c>
    </row>
    <row r="264" spans="1:22" x14ac:dyDescent="0.25">
      <c r="A264">
        <v>41473431379</v>
      </c>
      <c r="B264" t="s">
        <v>2</v>
      </c>
      <c r="C264" t="s">
        <v>180</v>
      </c>
      <c r="D264">
        <v>41473431379</v>
      </c>
      <c r="E264" s="1">
        <v>46220.570453796296</v>
      </c>
      <c r="F264">
        <v>115</v>
      </c>
      <c r="G264">
        <v>3</v>
      </c>
      <c r="H264" t="s">
        <v>4</v>
      </c>
      <c r="I264" t="s">
        <v>5</v>
      </c>
      <c r="J264" t="s">
        <v>6</v>
      </c>
      <c r="K264">
        <v>45057828</v>
      </c>
      <c r="L264">
        <v>609204</v>
      </c>
      <c r="M264">
        <v>25000</v>
      </c>
      <c r="N264" t="s">
        <v>7</v>
      </c>
      <c r="O264">
        <v>322637.40999999997</v>
      </c>
      <c r="P264" t="s">
        <v>184</v>
      </c>
      <c r="Q264" t="s">
        <v>8</v>
      </c>
      <c r="R264">
        <v>113366470</v>
      </c>
      <c r="S264">
        <v>113366470</v>
      </c>
      <c r="T264">
        <v>113366470</v>
      </c>
      <c r="U264" t="s">
        <v>182</v>
      </c>
      <c r="V264" t="s">
        <v>183</v>
      </c>
    </row>
    <row r="265" spans="1:22" x14ac:dyDescent="0.25">
      <c r="A265">
        <v>41506612587</v>
      </c>
      <c r="B265" t="s">
        <v>2</v>
      </c>
      <c r="C265" t="s">
        <v>180</v>
      </c>
      <c r="D265">
        <v>41506612587</v>
      </c>
      <c r="E265" s="1">
        <v>46240.368106863425</v>
      </c>
      <c r="F265">
        <v>115</v>
      </c>
      <c r="G265">
        <v>3</v>
      </c>
      <c r="H265" t="s">
        <v>4</v>
      </c>
      <c r="I265" t="s">
        <v>5</v>
      </c>
      <c r="J265" t="s">
        <v>6</v>
      </c>
      <c r="K265">
        <v>83280502</v>
      </c>
      <c r="L265">
        <v>230120</v>
      </c>
      <c r="M265">
        <v>10000</v>
      </c>
      <c r="N265" t="s">
        <v>7</v>
      </c>
      <c r="O265">
        <v>129848.44</v>
      </c>
      <c r="P265" t="s">
        <v>79</v>
      </c>
      <c r="Q265" t="s">
        <v>11</v>
      </c>
      <c r="R265">
        <v>141378075</v>
      </c>
      <c r="S265">
        <v>141378075</v>
      </c>
      <c r="T265">
        <v>141378075</v>
      </c>
      <c r="U265" t="s">
        <v>355</v>
      </c>
      <c r="V265" t="s">
        <v>9</v>
      </c>
    </row>
    <row r="266" spans="1:22" x14ac:dyDescent="0.25">
      <c r="A266">
        <v>41447679199</v>
      </c>
      <c r="B266" t="s">
        <v>10</v>
      </c>
      <c r="C266" t="s">
        <v>185</v>
      </c>
      <c r="D266">
        <v>41447679199</v>
      </c>
      <c r="E266" s="1">
        <v>46204.67572190972</v>
      </c>
      <c r="F266">
        <v>115</v>
      </c>
      <c r="G266">
        <v>3</v>
      </c>
      <c r="H266" t="s">
        <v>4</v>
      </c>
      <c r="I266" t="s">
        <v>5</v>
      </c>
      <c r="J266" t="s">
        <v>6</v>
      </c>
      <c r="K266">
        <v>9204083</v>
      </c>
      <c r="L266">
        <v>40075</v>
      </c>
      <c r="M266">
        <v>50000</v>
      </c>
      <c r="N266" t="s">
        <v>7</v>
      </c>
      <c r="O266">
        <v>643235.32999999996</v>
      </c>
      <c r="P266" t="s">
        <v>53</v>
      </c>
      <c r="Q266" t="s">
        <v>8</v>
      </c>
      <c r="R266">
        <v>142592674</v>
      </c>
      <c r="S266">
        <v>142592674</v>
      </c>
      <c r="T266">
        <v>142592674</v>
      </c>
      <c r="U266" t="s">
        <v>54</v>
      </c>
      <c r="V266" t="s">
        <v>15</v>
      </c>
    </row>
    <row r="267" spans="1:22" x14ac:dyDescent="0.25">
      <c r="A267">
        <v>41447499790</v>
      </c>
      <c r="B267" t="s">
        <v>2</v>
      </c>
      <c r="C267" t="s">
        <v>185</v>
      </c>
      <c r="D267">
        <v>41447499790</v>
      </c>
      <c r="E267" s="1">
        <v>46204.618747534725</v>
      </c>
      <c r="F267">
        <v>115</v>
      </c>
      <c r="G267">
        <v>3</v>
      </c>
      <c r="H267" t="s">
        <v>29</v>
      </c>
      <c r="I267" t="s">
        <v>5</v>
      </c>
      <c r="J267" t="s">
        <v>6</v>
      </c>
      <c r="K267">
        <v>23901216</v>
      </c>
      <c r="L267">
        <v>406377</v>
      </c>
      <c r="M267">
        <v>61286.07</v>
      </c>
      <c r="N267" t="s">
        <v>7</v>
      </c>
      <c r="O267">
        <v>788427.31</v>
      </c>
      <c r="P267" t="s">
        <v>30</v>
      </c>
      <c r="Q267" t="s">
        <v>8</v>
      </c>
      <c r="R267">
        <v>119309359</v>
      </c>
      <c r="S267">
        <v>119309359</v>
      </c>
      <c r="T267">
        <v>119309359</v>
      </c>
      <c r="U267" t="s">
        <v>31</v>
      </c>
      <c r="V267" t="s">
        <v>9</v>
      </c>
    </row>
    <row r="268" spans="1:22" x14ac:dyDescent="0.25">
      <c r="A268">
        <v>41447338345</v>
      </c>
      <c r="B268" t="s">
        <v>2</v>
      </c>
      <c r="C268" t="s">
        <v>185</v>
      </c>
      <c r="D268">
        <v>41447338345</v>
      </c>
      <c r="E268" s="1">
        <v>46204.567366400464</v>
      </c>
      <c r="F268">
        <v>115</v>
      </c>
      <c r="G268">
        <v>3</v>
      </c>
      <c r="H268" t="s">
        <v>4</v>
      </c>
      <c r="I268" t="s">
        <v>5</v>
      </c>
      <c r="J268" t="s">
        <v>6</v>
      </c>
      <c r="K268">
        <v>42272574</v>
      </c>
      <c r="L268">
        <v>406437</v>
      </c>
      <c r="M268">
        <v>30143.03</v>
      </c>
      <c r="N268" t="s">
        <v>7</v>
      </c>
      <c r="O268">
        <v>387781.2</v>
      </c>
      <c r="P268" t="s">
        <v>32</v>
      </c>
      <c r="Q268" t="s">
        <v>8</v>
      </c>
      <c r="R268">
        <v>119309359</v>
      </c>
      <c r="S268">
        <v>119309359</v>
      </c>
      <c r="T268">
        <v>119309359</v>
      </c>
      <c r="U268" t="s">
        <v>31</v>
      </c>
      <c r="V268" t="s">
        <v>9</v>
      </c>
    </row>
    <row r="269" spans="1:22" x14ac:dyDescent="0.25">
      <c r="A269">
        <v>41446946687</v>
      </c>
      <c r="B269" t="s">
        <v>10</v>
      </c>
      <c r="C269" t="s">
        <v>185</v>
      </c>
      <c r="D269">
        <v>41446946687</v>
      </c>
      <c r="E269" s="1">
        <v>46204.446696261577</v>
      </c>
      <c r="F269">
        <v>69</v>
      </c>
      <c r="G269">
        <v>3</v>
      </c>
      <c r="H269" t="s">
        <v>4</v>
      </c>
      <c r="I269" t="s">
        <v>5</v>
      </c>
      <c r="J269" t="s">
        <v>6</v>
      </c>
      <c r="K269">
        <v>80432571</v>
      </c>
      <c r="L269">
        <v>200771</v>
      </c>
      <c r="M269">
        <v>320000</v>
      </c>
      <c r="N269" t="s">
        <v>7</v>
      </c>
      <c r="O269">
        <v>4116705.96</v>
      </c>
      <c r="P269" t="s">
        <v>129</v>
      </c>
      <c r="Q269" t="s">
        <v>8</v>
      </c>
      <c r="R269">
        <v>88738513</v>
      </c>
      <c r="S269">
        <v>88738513</v>
      </c>
      <c r="T269">
        <v>88738513</v>
      </c>
      <c r="U269" t="s">
        <v>126</v>
      </c>
      <c r="V269" t="s">
        <v>15</v>
      </c>
    </row>
    <row r="270" spans="1:22" x14ac:dyDescent="0.25">
      <c r="A270">
        <v>41446939640</v>
      </c>
      <c r="B270" t="s">
        <v>10</v>
      </c>
      <c r="C270" t="s">
        <v>185</v>
      </c>
      <c r="D270">
        <v>41446939640</v>
      </c>
      <c r="E270" s="1">
        <v>46204.443933437498</v>
      </c>
      <c r="F270">
        <v>69</v>
      </c>
      <c r="G270">
        <v>3</v>
      </c>
      <c r="H270" t="s">
        <v>4</v>
      </c>
      <c r="I270" t="s">
        <v>5</v>
      </c>
      <c r="J270" t="s">
        <v>6</v>
      </c>
      <c r="K270">
        <v>80432571</v>
      </c>
      <c r="L270">
        <v>200771</v>
      </c>
      <c r="M270">
        <v>1500000</v>
      </c>
      <c r="N270" t="s">
        <v>7</v>
      </c>
      <c r="O270">
        <v>19297059.140000001</v>
      </c>
      <c r="P270" t="s">
        <v>36</v>
      </c>
      <c r="Q270" t="s">
        <v>8</v>
      </c>
      <c r="R270">
        <v>88738513</v>
      </c>
      <c r="S270">
        <v>88738513</v>
      </c>
      <c r="T270">
        <v>88738513</v>
      </c>
      <c r="U270" t="s">
        <v>126</v>
      </c>
      <c r="V270" t="s">
        <v>15</v>
      </c>
    </row>
    <row r="271" spans="1:22" x14ac:dyDescent="0.25">
      <c r="A271">
        <v>41449900442</v>
      </c>
      <c r="B271" t="s">
        <v>10</v>
      </c>
      <c r="C271" t="s">
        <v>185</v>
      </c>
      <c r="D271">
        <v>41449900442</v>
      </c>
      <c r="E271" s="1">
        <v>46205.823843437502</v>
      </c>
      <c r="F271">
        <v>115</v>
      </c>
      <c r="G271">
        <v>3</v>
      </c>
      <c r="H271" t="s">
        <v>4</v>
      </c>
      <c r="I271" t="s">
        <v>5</v>
      </c>
      <c r="J271" t="s">
        <v>6</v>
      </c>
      <c r="K271">
        <v>50604895</v>
      </c>
      <c r="L271">
        <v>204673</v>
      </c>
      <c r="M271">
        <v>25000</v>
      </c>
      <c r="N271" t="s">
        <v>7</v>
      </c>
      <c r="O271">
        <v>322637.40999999997</v>
      </c>
      <c r="P271" t="s">
        <v>56</v>
      </c>
      <c r="Q271" t="s">
        <v>8</v>
      </c>
      <c r="R271">
        <v>148159213</v>
      </c>
      <c r="S271">
        <v>148159213</v>
      </c>
      <c r="T271">
        <v>148159213</v>
      </c>
      <c r="U271" t="s">
        <v>57</v>
      </c>
      <c r="V271" t="s">
        <v>9</v>
      </c>
    </row>
    <row r="272" spans="1:22" x14ac:dyDescent="0.25">
      <c r="A272">
        <v>41449578507</v>
      </c>
      <c r="B272" t="s">
        <v>10</v>
      </c>
      <c r="C272" t="s">
        <v>185</v>
      </c>
      <c r="D272">
        <v>41449578507</v>
      </c>
      <c r="E272" s="1">
        <v>46205.701892407407</v>
      </c>
      <c r="F272">
        <v>115</v>
      </c>
      <c r="G272">
        <v>3</v>
      </c>
      <c r="H272" t="s">
        <v>4</v>
      </c>
      <c r="I272" t="s">
        <v>5</v>
      </c>
      <c r="J272" t="s">
        <v>6</v>
      </c>
      <c r="K272">
        <v>61658919</v>
      </c>
      <c r="L272">
        <v>406437</v>
      </c>
      <c r="M272">
        <v>90000</v>
      </c>
      <c r="N272" t="s">
        <v>7</v>
      </c>
      <c r="O272">
        <v>1161494.57</v>
      </c>
      <c r="P272" t="s">
        <v>58</v>
      </c>
      <c r="Q272" t="s">
        <v>8</v>
      </c>
      <c r="R272">
        <v>86816444</v>
      </c>
      <c r="S272">
        <v>86816444</v>
      </c>
      <c r="T272">
        <v>86816444</v>
      </c>
      <c r="U272" t="s">
        <v>59</v>
      </c>
      <c r="V272" t="s">
        <v>9</v>
      </c>
    </row>
    <row r="273" spans="1:22" x14ac:dyDescent="0.25">
      <c r="A273">
        <v>41451349515</v>
      </c>
      <c r="B273" t="s">
        <v>2</v>
      </c>
      <c r="C273" t="s">
        <v>185</v>
      </c>
      <c r="D273">
        <v>41451349515</v>
      </c>
      <c r="E273" s="1">
        <v>46206.681241840277</v>
      </c>
      <c r="F273">
        <v>115</v>
      </c>
      <c r="G273">
        <v>3</v>
      </c>
      <c r="H273" t="s">
        <v>4</v>
      </c>
      <c r="I273" t="s">
        <v>5</v>
      </c>
      <c r="J273" t="s">
        <v>6</v>
      </c>
      <c r="K273">
        <v>16281625</v>
      </c>
      <c r="L273">
        <v>608407</v>
      </c>
      <c r="M273">
        <v>50000</v>
      </c>
      <c r="N273" t="s">
        <v>7</v>
      </c>
      <c r="O273">
        <v>645274.81999999995</v>
      </c>
      <c r="P273" t="s">
        <v>61</v>
      </c>
      <c r="Q273" t="s">
        <v>8</v>
      </c>
      <c r="R273">
        <v>128533080</v>
      </c>
      <c r="S273">
        <v>128533080</v>
      </c>
      <c r="T273">
        <v>128533080</v>
      </c>
      <c r="U273" t="s">
        <v>62</v>
      </c>
      <c r="V273" t="s">
        <v>63</v>
      </c>
    </row>
    <row r="274" spans="1:22" x14ac:dyDescent="0.25">
      <c r="A274">
        <v>41451347753</v>
      </c>
      <c r="B274" t="s">
        <v>2</v>
      </c>
      <c r="C274" t="s">
        <v>185</v>
      </c>
      <c r="D274">
        <v>41451347753</v>
      </c>
      <c r="E274" s="1">
        <v>46206.680642743057</v>
      </c>
      <c r="F274">
        <v>115</v>
      </c>
      <c r="G274">
        <v>3</v>
      </c>
      <c r="H274" t="s">
        <v>4</v>
      </c>
      <c r="I274" t="s">
        <v>5</v>
      </c>
      <c r="J274" t="s">
        <v>6</v>
      </c>
      <c r="K274">
        <v>16281625</v>
      </c>
      <c r="L274">
        <v>608407</v>
      </c>
      <c r="M274">
        <v>100000</v>
      </c>
      <c r="N274" t="s">
        <v>7</v>
      </c>
      <c r="O274">
        <v>1290549.53</v>
      </c>
      <c r="P274" t="s">
        <v>61</v>
      </c>
      <c r="Q274" t="s">
        <v>8</v>
      </c>
      <c r="R274">
        <v>128533080</v>
      </c>
      <c r="S274">
        <v>128533080</v>
      </c>
      <c r="T274">
        <v>128533080</v>
      </c>
      <c r="U274" t="s">
        <v>62</v>
      </c>
      <c r="V274" t="s">
        <v>63</v>
      </c>
    </row>
    <row r="275" spans="1:22" x14ac:dyDescent="0.25">
      <c r="A275">
        <v>41451344908</v>
      </c>
      <c r="B275" t="s">
        <v>10</v>
      </c>
      <c r="C275" t="s">
        <v>185</v>
      </c>
      <c r="D275">
        <v>41451344908</v>
      </c>
      <c r="E275" s="1">
        <v>46206.679814247684</v>
      </c>
      <c r="F275">
        <v>115</v>
      </c>
      <c r="G275">
        <v>3</v>
      </c>
      <c r="H275" t="s">
        <v>4</v>
      </c>
      <c r="I275" t="s">
        <v>5</v>
      </c>
      <c r="J275" t="s">
        <v>6</v>
      </c>
      <c r="K275">
        <v>16281625</v>
      </c>
      <c r="L275">
        <v>608407</v>
      </c>
      <c r="M275">
        <v>100000</v>
      </c>
      <c r="N275" t="s">
        <v>7</v>
      </c>
      <c r="O275">
        <v>1290549.53</v>
      </c>
      <c r="P275" t="s">
        <v>61</v>
      </c>
      <c r="Q275" t="s">
        <v>8</v>
      </c>
      <c r="R275">
        <v>128533080</v>
      </c>
      <c r="S275">
        <v>128533080</v>
      </c>
      <c r="T275">
        <v>128533080</v>
      </c>
      <c r="U275" t="s">
        <v>62</v>
      </c>
      <c r="V275" t="s">
        <v>63</v>
      </c>
    </row>
    <row r="276" spans="1:22" x14ac:dyDescent="0.25">
      <c r="A276">
        <v>41450795129</v>
      </c>
      <c r="B276" t="s">
        <v>2</v>
      </c>
      <c r="C276" t="s">
        <v>185</v>
      </c>
      <c r="D276">
        <v>41450795129</v>
      </c>
      <c r="E276" s="1">
        <v>46206.516615960645</v>
      </c>
      <c r="F276">
        <v>115</v>
      </c>
      <c r="G276">
        <v>3</v>
      </c>
      <c r="H276" t="s">
        <v>68</v>
      </c>
      <c r="I276" t="s">
        <v>5</v>
      </c>
      <c r="J276" t="s">
        <v>6</v>
      </c>
      <c r="K276">
        <v>54606</v>
      </c>
      <c r="L276">
        <v>165760</v>
      </c>
      <c r="M276">
        <v>25000</v>
      </c>
      <c r="N276" t="s">
        <v>7</v>
      </c>
      <c r="O276">
        <v>322637.40999999997</v>
      </c>
      <c r="P276" t="s">
        <v>69</v>
      </c>
      <c r="Q276" t="s">
        <v>8</v>
      </c>
      <c r="R276">
        <v>102909595</v>
      </c>
      <c r="S276">
        <v>102909595</v>
      </c>
      <c r="T276">
        <v>102909595</v>
      </c>
      <c r="U276" t="s">
        <v>70</v>
      </c>
      <c r="V276" t="s">
        <v>9</v>
      </c>
    </row>
    <row r="277" spans="1:22" x14ac:dyDescent="0.25">
      <c r="A277">
        <v>41450496287</v>
      </c>
      <c r="B277" t="s">
        <v>2</v>
      </c>
      <c r="C277" t="s">
        <v>185</v>
      </c>
      <c r="D277">
        <v>41450496287</v>
      </c>
      <c r="E277" s="1">
        <v>46206.415541354167</v>
      </c>
      <c r="F277">
        <v>115</v>
      </c>
      <c r="G277">
        <v>3</v>
      </c>
      <c r="H277" t="s">
        <v>68</v>
      </c>
      <c r="I277" t="s">
        <v>5</v>
      </c>
      <c r="J277" t="s">
        <v>6</v>
      </c>
      <c r="K277">
        <v>54606</v>
      </c>
      <c r="L277">
        <v>165760</v>
      </c>
      <c r="M277">
        <v>25000</v>
      </c>
      <c r="N277" t="s">
        <v>7</v>
      </c>
      <c r="O277">
        <v>322637.40999999997</v>
      </c>
      <c r="P277" t="s">
        <v>69</v>
      </c>
      <c r="Q277" t="s">
        <v>8</v>
      </c>
      <c r="R277">
        <v>102909595</v>
      </c>
      <c r="S277">
        <v>102909595</v>
      </c>
      <c r="T277">
        <v>102909595</v>
      </c>
      <c r="U277" t="s">
        <v>70</v>
      </c>
      <c r="V277" t="s">
        <v>9</v>
      </c>
    </row>
    <row r="278" spans="1:22" x14ac:dyDescent="0.25">
      <c r="A278">
        <v>41450493081</v>
      </c>
      <c r="B278" t="s">
        <v>10</v>
      </c>
      <c r="C278" t="s">
        <v>185</v>
      </c>
      <c r="D278">
        <v>41450493081</v>
      </c>
      <c r="E278" s="1">
        <v>46206.41441636574</v>
      </c>
      <c r="F278">
        <v>115</v>
      </c>
      <c r="G278">
        <v>3</v>
      </c>
      <c r="H278" t="s">
        <v>68</v>
      </c>
      <c r="I278" t="s">
        <v>5</v>
      </c>
      <c r="J278" t="s">
        <v>6</v>
      </c>
      <c r="K278">
        <v>54606</v>
      </c>
      <c r="L278">
        <v>165760</v>
      </c>
      <c r="M278">
        <v>100000</v>
      </c>
      <c r="N278" t="s">
        <v>7</v>
      </c>
      <c r="O278">
        <v>1290549.53</v>
      </c>
      <c r="P278" t="s">
        <v>69</v>
      </c>
      <c r="Q278" t="s">
        <v>8</v>
      </c>
      <c r="R278">
        <v>102909595</v>
      </c>
      <c r="S278">
        <v>102909595</v>
      </c>
      <c r="T278">
        <v>102909595</v>
      </c>
      <c r="U278" t="s">
        <v>70</v>
      </c>
      <c r="V278" t="s">
        <v>9</v>
      </c>
    </row>
    <row r="279" spans="1:22" x14ac:dyDescent="0.25">
      <c r="A279">
        <v>41455493035</v>
      </c>
      <c r="B279" t="s">
        <v>10</v>
      </c>
      <c r="C279" t="s">
        <v>185</v>
      </c>
      <c r="D279">
        <v>41455493035</v>
      </c>
      <c r="E279" s="1">
        <v>46209.568149166669</v>
      </c>
      <c r="F279">
        <v>115</v>
      </c>
      <c r="G279">
        <v>3</v>
      </c>
      <c r="H279" t="s">
        <v>4</v>
      </c>
      <c r="I279" t="s">
        <v>5</v>
      </c>
      <c r="J279" t="s">
        <v>6</v>
      </c>
      <c r="K279">
        <v>54008774</v>
      </c>
      <c r="L279">
        <v>90643</v>
      </c>
      <c r="M279">
        <v>50000</v>
      </c>
      <c r="N279" t="s">
        <v>7</v>
      </c>
      <c r="O279">
        <v>645274.81999999995</v>
      </c>
      <c r="P279" t="s">
        <v>130</v>
      </c>
      <c r="Q279" t="s">
        <v>8</v>
      </c>
      <c r="R279">
        <v>120919394</v>
      </c>
      <c r="S279">
        <v>120919394</v>
      </c>
      <c r="T279">
        <v>120919394</v>
      </c>
      <c r="U279" t="s">
        <v>131</v>
      </c>
      <c r="V279" t="s">
        <v>9</v>
      </c>
    </row>
    <row r="280" spans="1:22" x14ac:dyDescent="0.25">
      <c r="A280">
        <v>41456899665</v>
      </c>
      <c r="B280" t="s">
        <v>10</v>
      </c>
      <c r="C280" t="s">
        <v>185</v>
      </c>
      <c r="D280">
        <v>41456899665</v>
      </c>
      <c r="E280" s="1">
        <v>46210.477408171297</v>
      </c>
      <c r="F280">
        <v>115</v>
      </c>
      <c r="G280">
        <v>3</v>
      </c>
      <c r="H280" t="s">
        <v>4</v>
      </c>
      <c r="I280" t="s">
        <v>5</v>
      </c>
      <c r="J280" t="s">
        <v>6</v>
      </c>
      <c r="K280">
        <v>85532110</v>
      </c>
      <c r="L280">
        <v>608407</v>
      </c>
      <c r="M280">
        <v>55000</v>
      </c>
      <c r="N280" t="s">
        <v>7</v>
      </c>
      <c r="O280">
        <v>709802.3</v>
      </c>
      <c r="P280" t="s">
        <v>111</v>
      </c>
      <c r="Q280" t="s">
        <v>8</v>
      </c>
      <c r="R280">
        <v>123478273</v>
      </c>
      <c r="S280">
        <v>123478273</v>
      </c>
      <c r="T280">
        <v>123478273</v>
      </c>
      <c r="U280" t="s">
        <v>112</v>
      </c>
      <c r="V280" t="s">
        <v>9</v>
      </c>
    </row>
    <row r="281" spans="1:22" x14ac:dyDescent="0.25">
      <c r="A281">
        <v>41459665892</v>
      </c>
      <c r="B281" t="s">
        <v>10</v>
      </c>
      <c r="C281" t="s">
        <v>185</v>
      </c>
      <c r="D281">
        <v>41459665892</v>
      </c>
      <c r="E281" s="1">
        <v>46211.900604907409</v>
      </c>
      <c r="F281">
        <v>115</v>
      </c>
      <c r="G281">
        <v>3</v>
      </c>
      <c r="H281" t="s">
        <v>135</v>
      </c>
      <c r="I281" t="s">
        <v>5</v>
      </c>
      <c r="J281" t="s">
        <v>6</v>
      </c>
      <c r="K281">
        <v>1362320</v>
      </c>
      <c r="L281">
        <v>304067</v>
      </c>
      <c r="M281">
        <v>20000</v>
      </c>
      <c r="N281" t="s">
        <v>7</v>
      </c>
      <c r="O281">
        <v>258109.93</v>
      </c>
      <c r="P281" t="s">
        <v>136</v>
      </c>
      <c r="Q281" t="s">
        <v>8</v>
      </c>
      <c r="R281">
        <v>115716052</v>
      </c>
      <c r="S281">
        <v>115716052</v>
      </c>
      <c r="T281">
        <v>115716052</v>
      </c>
      <c r="U281" t="s">
        <v>137</v>
      </c>
      <c r="V281" t="s">
        <v>138</v>
      </c>
    </row>
    <row r="282" spans="1:22" x14ac:dyDescent="0.25">
      <c r="A282">
        <v>41459674249</v>
      </c>
      <c r="B282" t="s">
        <v>10</v>
      </c>
      <c r="C282" t="s">
        <v>185</v>
      </c>
      <c r="D282">
        <v>41459674249</v>
      </c>
      <c r="E282" s="1">
        <v>46211.905969467596</v>
      </c>
      <c r="F282">
        <v>115</v>
      </c>
      <c r="G282">
        <v>3</v>
      </c>
      <c r="H282" t="s">
        <v>135</v>
      </c>
      <c r="I282" t="s">
        <v>5</v>
      </c>
      <c r="J282" t="s">
        <v>6</v>
      </c>
      <c r="K282">
        <v>1362320</v>
      </c>
      <c r="L282">
        <v>304067</v>
      </c>
      <c r="M282">
        <v>20000</v>
      </c>
      <c r="N282" t="s">
        <v>7</v>
      </c>
      <c r="O282">
        <v>258109.93</v>
      </c>
      <c r="P282" t="s">
        <v>139</v>
      </c>
      <c r="Q282" t="s">
        <v>8</v>
      </c>
      <c r="R282">
        <v>115716052</v>
      </c>
      <c r="S282">
        <v>115716052</v>
      </c>
      <c r="T282">
        <v>115716052</v>
      </c>
      <c r="U282" t="s">
        <v>137</v>
      </c>
      <c r="V282" t="s">
        <v>138</v>
      </c>
    </row>
    <row r="283" spans="1:22" x14ac:dyDescent="0.25">
      <c r="A283">
        <v>41458876248</v>
      </c>
      <c r="B283" t="s">
        <v>10</v>
      </c>
      <c r="C283" t="s">
        <v>185</v>
      </c>
      <c r="D283">
        <v>41458876248</v>
      </c>
      <c r="E283" s="1">
        <v>46211.579239108796</v>
      </c>
      <c r="F283">
        <v>98</v>
      </c>
      <c r="G283">
        <v>3</v>
      </c>
      <c r="H283" t="s">
        <v>154</v>
      </c>
      <c r="I283" t="s">
        <v>155</v>
      </c>
      <c r="J283" t="s">
        <v>6</v>
      </c>
      <c r="K283" t="s">
        <v>156</v>
      </c>
      <c r="L283" t="s">
        <v>26</v>
      </c>
      <c r="M283">
        <v>45000</v>
      </c>
      <c r="N283" t="s">
        <v>27</v>
      </c>
      <c r="O283">
        <v>498940.53</v>
      </c>
      <c r="P283" t="s">
        <v>157</v>
      </c>
      <c r="Q283" t="s">
        <v>8</v>
      </c>
      <c r="R283">
        <v>134675180</v>
      </c>
      <c r="S283">
        <v>134675180</v>
      </c>
      <c r="T283">
        <v>134675180</v>
      </c>
      <c r="U283" t="s">
        <v>158</v>
      </c>
      <c r="V283" t="s">
        <v>9</v>
      </c>
    </row>
    <row r="284" spans="1:22" x14ac:dyDescent="0.25">
      <c r="A284">
        <v>41458164138</v>
      </c>
      <c r="B284" t="s">
        <v>10</v>
      </c>
      <c r="C284" t="s">
        <v>185</v>
      </c>
      <c r="D284">
        <v>41458164138</v>
      </c>
      <c r="E284" s="1">
        <v>46211.052859166666</v>
      </c>
      <c r="F284">
        <v>115</v>
      </c>
      <c r="G284">
        <v>3</v>
      </c>
      <c r="H284" t="s">
        <v>140</v>
      </c>
      <c r="I284" t="s">
        <v>5</v>
      </c>
      <c r="J284" t="s">
        <v>6</v>
      </c>
      <c r="K284">
        <v>13389011</v>
      </c>
      <c r="L284">
        <v>50200</v>
      </c>
      <c r="M284">
        <v>35000</v>
      </c>
      <c r="N284" t="s">
        <v>7</v>
      </c>
      <c r="O284">
        <v>451692.37</v>
      </c>
      <c r="P284" t="s">
        <v>141</v>
      </c>
      <c r="Q284" t="s">
        <v>8</v>
      </c>
      <c r="R284">
        <v>125587352</v>
      </c>
      <c r="S284">
        <v>125587352</v>
      </c>
      <c r="T284">
        <v>125587352</v>
      </c>
      <c r="U284" t="s">
        <v>142</v>
      </c>
      <c r="V284" t="s">
        <v>9</v>
      </c>
    </row>
    <row r="285" spans="1:22" x14ac:dyDescent="0.25">
      <c r="A285">
        <v>41458164248</v>
      </c>
      <c r="B285" t="s">
        <v>10</v>
      </c>
      <c r="C285" t="s">
        <v>185</v>
      </c>
      <c r="D285">
        <v>41458164248</v>
      </c>
      <c r="E285" s="1">
        <v>46211.052869004627</v>
      </c>
      <c r="F285">
        <v>115</v>
      </c>
      <c r="G285">
        <v>3</v>
      </c>
      <c r="H285" t="s">
        <v>140</v>
      </c>
      <c r="I285" t="s">
        <v>5</v>
      </c>
      <c r="J285" t="s">
        <v>6</v>
      </c>
      <c r="K285">
        <v>13389011</v>
      </c>
      <c r="L285">
        <v>50200</v>
      </c>
      <c r="M285">
        <v>50000</v>
      </c>
      <c r="N285" t="s">
        <v>7</v>
      </c>
      <c r="O285">
        <v>645274.81999999995</v>
      </c>
      <c r="P285" t="s">
        <v>141</v>
      </c>
      <c r="Q285" t="s">
        <v>8</v>
      </c>
      <c r="R285">
        <v>125587352</v>
      </c>
      <c r="S285">
        <v>125587352</v>
      </c>
      <c r="T285">
        <v>125587352</v>
      </c>
      <c r="U285" t="s">
        <v>142</v>
      </c>
      <c r="V285" t="s">
        <v>9</v>
      </c>
    </row>
    <row r="286" spans="1:22" x14ac:dyDescent="0.25">
      <c r="A286">
        <v>41462835117</v>
      </c>
      <c r="B286" t="s">
        <v>10</v>
      </c>
      <c r="C286" t="s">
        <v>185</v>
      </c>
      <c r="D286">
        <v>41462835117</v>
      </c>
      <c r="E286" s="1">
        <v>46213.782349236113</v>
      </c>
      <c r="F286">
        <v>115</v>
      </c>
      <c r="G286">
        <v>3</v>
      </c>
      <c r="H286" t="s">
        <v>143</v>
      </c>
      <c r="I286" t="s">
        <v>5</v>
      </c>
      <c r="J286" t="s">
        <v>6</v>
      </c>
      <c r="K286">
        <v>10235121</v>
      </c>
      <c r="L286">
        <v>403232</v>
      </c>
      <c r="M286">
        <v>100000</v>
      </c>
      <c r="N286" t="s">
        <v>7</v>
      </c>
      <c r="O286">
        <v>1290549.53</v>
      </c>
      <c r="P286" t="s">
        <v>144</v>
      </c>
      <c r="Q286" t="s">
        <v>8</v>
      </c>
      <c r="R286">
        <v>148525652</v>
      </c>
      <c r="S286">
        <v>148525652</v>
      </c>
      <c r="T286">
        <v>148525652</v>
      </c>
      <c r="U286" t="s">
        <v>145</v>
      </c>
      <c r="V286" t="s">
        <v>9</v>
      </c>
    </row>
    <row r="287" spans="1:22" x14ac:dyDescent="0.25">
      <c r="A287">
        <v>41462850655</v>
      </c>
      <c r="B287" t="s">
        <v>2</v>
      </c>
      <c r="C287" t="s">
        <v>185</v>
      </c>
      <c r="D287">
        <v>41462850655</v>
      </c>
      <c r="E287" s="1">
        <v>46213.789105752316</v>
      </c>
      <c r="F287">
        <v>115</v>
      </c>
      <c r="G287">
        <v>3</v>
      </c>
      <c r="H287" t="s">
        <v>143</v>
      </c>
      <c r="I287" t="s">
        <v>5</v>
      </c>
      <c r="J287" t="s">
        <v>6</v>
      </c>
      <c r="K287">
        <v>10235121</v>
      </c>
      <c r="L287">
        <v>403232</v>
      </c>
      <c r="M287">
        <v>80000</v>
      </c>
      <c r="N287" t="s">
        <v>7</v>
      </c>
      <c r="O287">
        <v>1032439.7</v>
      </c>
      <c r="P287" t="s">
        <v>144</v>
      </c>
      <c r="Q287" t="s">
        <v>8</v>
      </c>
      <c r="R287">
        <v>148525652</v>
      </c>
      <c r="S287">
        <v>148525652</v>
      </c>
      <c r="T287">
        <v>148525652</v>
      </c>
      <c r="U287" t="s">
        <v>145</v>
      </c>
      <c r="V287" t="s">
        <v>9</v>
      </c>
    </row>
    <row r="288" spans="1:22" x14ac:dyDescent="0.25">
      <c r="A288">
        <v>41462839274</v>
      </c>
      <c r="B288" t="s">
        <v>10</v>
      </c>
      <c r="C288" t="s">
        <v>185</v>
      </c>
      <c r="D288">
        <v>41462839274</v>
      </c>
      <c r="E288" s="1">
        <v>46213.784352766204</v>
      </c>
      <c r="F288">
        <v>115</v>
      </c>
      <c r="G288">
        <v>3</v>
      </c>
      <c r="H288" t="s">
        <v>143</v>
      </c>
      <c r="I288" t="s">
        <v>5</v>
      </c>
      <c r="J288" t="s">
        <v>6</v>
      </c>
      <c r="K288">
        <v>10235121</v>
      </c>
      <c r="L288">
        <v>403232</v>
      </c>
      <c r="M288">
        <v>100000</v>
      </c>
      <c r="N288" t="s">
        <v>7</v>
      </c>
      <c r="O288">
        <v>1290549.53</v>
      </c>
      <c r="P288" t="s">
        <v>144</v>
      </c>
      <c r="Q288" t="s">
        <v>8</v>
      </c>
      <c r="R288">
        <v>148525652</v>
      </c>
      <c r="S288">
        <v>148525652</v>
      </c>
      <c r="T288">
        <v>148525652</v>
      </c>
      <c r="U288" t="s">
        <v>145</v>
      </c>
      <c r="V288" t="s">
        <v>9</v>
      </c>
    </row>
    <row r="289" spans="1:22" x14ac:dyDescent="0.25">
      <c r="A289">
        <v>41462512107</v>
      </c>
      <c r="B289" t="s">
        <v>10</v>
      </c>
      <c r="C289" t="s">
        <v>185</v>
      </c>
      <c r="D289">
        <v>41462512107</v>
      </c>
      <c r="E289" s="1">
        <v>46213.659513206017</v>
      </c>
      <c r="F289">
        <v>115</v>
      </c>
      <c r="G289">
        <v>3</v>
      </c>
      <c r="H289" t="s">
        <v>4</v>
      </c>
      <c r="I289" t="s">
        <v>5</v>
      </c>
      <c r="J289" t="s">
        <v>6</v>
      </c>
      <c r="K289">
        <v>8545946</v>
      </c>
      <c r="L289">
        <v>40005</v>
      </c>
      <c r="M289">
        <v>10000</v>
      </c>
      <c r="N289" t="s">
        <v>7</v>
      </c>
      <c r="O289">
        <v>129054.96</v>
      </c>
      <c r="P289" t="s">
        <v>186</v>
      </c>
      <c r="Q289" t="s">
        <v>11</v>
      </c>
      <c r="R289">
        <v>89938773</v>
      </c>
      <c r="S289">
        <v>89938773</v>
      </c>
      <c r="T289">
        <v>89938773</v>
      </c>
      <c r="U289" t="s">
        <v>187</v>
      </c>
      <c r="V289" t="s">
        <v>9</v>
      </c>
    </row>
    <row r="290" spans="1:22" x14ac:dyDescent="0.25">
      <c r="A290">
        <v>41462004245</v>
      </c>
      <c r="B290" t="s">
        <v>10</v>
      </c>
      <c r="C290" t="s">
        <v>185</v>
      </c>
      <c r="D290">
        <v>41462004245</v>
      </c>
      <c r="E290" s="1">
        <v>46213.504077106481</v>
      </c>
      <c r="F290">
        <v>115</v>
      </c>
      <c r="G290">
        <v>3</v>
      </c>
      <c r="H290" t="s">
        <v>4</v>
      </c>
      <c r="I290" t="s">
        <v>5</v>
      </c>
      <c r="J290" t="s">
        <v>6</v>
      </c>
      <c r="K290">
        <v>6666272</v>
      </c>
      <c r="L290">
        <v>180002</v>
      </c>
      <c r="M290">
        <v>80000</v>
      </c>
      <c r="N290" t="s">
        <v>7</v>
      </c>
      <c r="O290">
        <v>1032439.7</v>
      </c>
      <c r="P290" t="s">
        <v>116</v>
      </c>
      <c r="Q290" t="s">
        <v>8</v>
      </c>
      <c r="R290">
        <v>110380607</v>
      </c>
      <c r="S290">
        <v>110380607</v>
      </c>
      <c r="T290">
        <v>110380607</v>
      </c>
      <c r="U290" t="s">
        <v>117</v>
      </c>
      <c r="V290" t="s">
        <v>15</v>
      </c>
    </row>
    <row r="291" spans="1:22" x14ac:dyDescent="0.25">
      <c r="A291">
        <v>41463601364</v>
      </c>
      <c r="B291" t="s">
        <v>2</v>
      </c>
      <c r="C291" t="s">
        <v>185</v>
      </c>
      <c r="D291">
        <v>41463601364</v>
      </c>
      <c r="E291" s="1">
        <v>46214.504335254627</v>
      </c>
      <c r="F291">
        <v>115</v>
      </c>
      <c r="G291">
        <v>3</v>
      </c>
      <c r="H291" t="s">
        <v>19</v>
      </c>
      <c r="I291" t="s">
        <v>5</v>
      </c>
      <c r="J291" t="s">
        <v>6</v>
      </c>
      <c r="K291">
        <v>51396080</v>
      </c>
      <c r="L291">
        <v>404031</v>
      </c>
      <c r="M291">
        <v>100000</v>
      </c>
      <c r="N291" t="s">
        <v>7</v>
      </c>
      <c r="O291">
        <v>1290549.53</v>
      </c>
      <c r="P291" t="s">
        <v>17</v>
      </c>
      <c r="Q291" t="s">
        <v>8</v>
      </c>
      <c r="R291">
        <v>146573514</v>
      </c>
      <c r="S291">
        <v>146573514</v>
      </c>
      <c r="T291">
        <v>146573514</v>
      </c>
      <c r="U291" t="s">
        <v>18</v>
      </c>
      <c r="V291" t="s">
        <v>15</v>
      </c>
    </row>
    <row r="292" spans="1:22" x14ac:dyDescent="0.25">
      <c r="A292">
        <v>41463610727</v>
      </c>
      <c r="B292" t="s">
        <v>2</v>
      </c>
      <c r="C292" t="s">
        <v>185</v>
      </c>
      <c r="D292">
        <v>41463610727</v>
      </c>
      <c r="E292" s="1">
        <v>46214.50736797454</v>
      </c>
      <c r="F292">
        <v>115</v>
      </c>
      <c r="G292">
        <v>3</v>
      </c>
      <c r="H292" t="s">
        <v>19</v>
      </c>
      <c r="I292" t="s">
        <v>5</v>
      </c>
      <c r="J292" t="s">
        <v>6</v>
      </c>
      <c r="K292">
        <v>51396080</v>
      </c>
      <c r="L292">
        <v>404031</v>
      </c>
      <c r="M292">
        <v>95000</v>
      </c>
      <c r="N292" t="s">
        <v>7</v>
      </c>
      <c r="O292">
        <v>1226022.05</v>
      </c>
      <c r="P292" t="s">
        <v>17</v>
      </c>
      <c r="Q292" t="s">
        <v>8</v>
      </c>
      <c r="R292">
        <v>146573514</v>
      </c>
      <c r="S292">
        <v>146573514</v>
      </c>
      <c r="T292">
        <v>146573514</v>
      </c>
      <c r="U292" t="s">
        <v>18</v>
      </c>
      <c r="V292" t="s">
        <v>15</v>
      </c>
    </row>
    <row r="293" spans="1:22" x14ac:dyDescent="0.25">
      <c r="A293">
        <v>41463606609</v>
      </c>
      <c r="B293" t="s">
        <v>2</v>
      </c>
      <c r="C293" t="s">
        <v>185</v>
      </c>
      <c r="D293">
        <v>41463606609</v>
      </c>
      <c r="E293" s="1">
        <v>46214.506083831016</v>
      </c>
      <c r="F293">
        <v>115</v>
      </c>
      <c r="G293">
        <v>3</v>
      </c>
      <c r="H293" t="s">
        <v>16</v>
      </c>
      <c r="I293" t="s">
        <v>5</v>
      </c>
      <c r="J293" t="s">
        <v>6</v>
      </c>
      <c r="K293">
        <v>57317232</v>
      </c>
      <c r="L293">
        <v>555010</v>
      </c>
      <c r="M293">
        <v>100000</v>
      </c>
      <c r="N293" t="s">
        <v>7</v>
      </c>
      <c r="O293">
        <v>1290549.53</v>
      </c>
      <c r="P293" t="s">
        <v>17</v>
      </c>
      <c r="Q293" t="s">
        <v>8</v>
      </c>
      <c r="R293">
        <v>146573514</v>
      </c>
      <c r="S293">
        <v>146573514</v>
      </c>
      <c r="T293">
        <v>146573514</v>
      </c>
      <c r="U293" t="s">
        <v>18</v>
      </c>
      <c r="V293" t="s">
        <v>15</v>
      </c>
    </row>
    <row r="294" spans="1:22" x14ac:dyDescent="0.25">
      <c r="A294">
        <v>41466468310</v>
      </c>
      <c r="B294" t="s">
        <v>10</v>
      </c>
      <c r="C294" t="s">
        <v>185</v>
      </c>
      <c r="D294">
        <v>41466468310</v>
      </c>
      <c r="E294" s="1">
        <v>46216.561366215275</v>
      </c>
      <c r="F294">
        <v>115</v>
      </c>
      <c r="G294">
        <v>3</v>
      </c>
      <c r="H294" t="s">
        <v>49</v>
      </c>
      <c r="I294" t="s">
        <v>5</v>
      </c>
      <c r="J294" t="s">
        <v>6</v>
      </c>
      <c r="K294">
        <v>58219401</v>
      </c>
      <c r="L294">
        <v>230580</v>
      </c>
      <c r="M294">
        <v>41000</v>
      </c>
      <c r="N294" t="s">
        <v>7</v>
      </c>
      <c r="O294">
        <v>529125.35</v>
      </c>
      <c r="P294" t="s">
        <v>86</v>
      </c>
      <c r="Q294" t="s">
        <v>8</v>
      </c>
      <c r="R294">
        <v>135057461</v>
      </c>
      <c r="S294">
        <v>135057461</v>
      </c>
      <c r="T294">
        <v>135057461</v>
      </c>
      <c r="U294" t="s">
        <v>87</v>
      </c>
      <c r="V294" t="s">
        <v>15</v>
      </c>
    </row>
    <row r="295" spans="1:22" x14ac:dyDescent="0.25">
      <c r="A295">
        <v>41472246859</v>
      </c>
      <c r="B295" t="s">
        <v>2</v>
      </c>
      <c r="C295" t="s">
        <v>185</v>
      </c>
      <c r="D295">
        <v>41472246859</v>
      </c>
      <c r="E295" s="1">
        <v>46219.743704224536</v>
      </c>
      <c r="F295">
        <v>69</v>
      </c>
      <c r="G295">
        <v>3</v>
      </c>
      <c r="H295" t="s">
        <v>91</v>
      </c>
      <c r="I295" t="s">
        <v>5</v>
      </c>
      <c r="J295" t="s">
        <v>6</v>
      </c>
      <c r="K295">
        <v>10030747</v>
      </c>
      <c r="L295">
        <v>161923</v>
      </c>
      <c r="M295">
        <v>250000</v>
      </c>
      <c r="N295" t="s">
        <v>7</v>
      </c>
      <c r="O295">
        <v>3226373.98</v>
      </c>
      <c r="P295" t="s">
        <v>146</v>
      </c>
      <c r="Q295" t="s">
        <v>8</v>
      </c>
      <c r="R295">
        <v>107560732</v>
      </c>
      <c r="S295">
        <v>107560732</v>
      </c>
      <c r="T295">
        <v>107560732</v>
      </c>
      <c r="U295" t="s">
        <v>93</v>
      </c>
      <c r="V295" t="s">
        <v>9</v>
      </c>
    </row>
    <row r="296" spans="1:22" x14ac:dyDescent="0.25">
      <c r="A296">
        <v>41473841513</v>
      </c>
      <c r="B296" t="s">
        <v>10</v>
      </c>
      <c r="C296" t="s">
        <v>185</v>
      </c>
      <c r="D296">
        <v>41473841513</v>
      </c>
      <c r="E296" s="1">
        <v>46220.716874965277</v>
      </c>
      <c r="F296">
        <v>115</v>
      </c>
      <c r="G296">
        <v>3</v>
      </c>
      <c r="H296" t="s">
        <v>4</v>
      </c>
      <c r="I296" t="s">
        <v>5</v>
      </c>
      <c r="J296" t="s">
        <v>6</v>
      </c>
      <c r="K296">
        <v>24040801</v>
      </c>
      <c r="L296">
        <v>40605</v>
      </c>
      <c r="M296">
        <v>13329.74</v>
      </c>
      <c r="N296" t="s">
        <v>7</v>
      </c>
      <c r="O296">
        <v>172026.88</v>
      </c>
      <c r="P296" t="s">
        <v>147</v>
      </c>
      <c r="Q296" t="s">
        <v>8</v>
      </c>
      <c r="R296">
        <v>128132131</v>
      </c>
      <c r="S296">
        <v>128132131</v>
      </c>
      <c r="T296">
        <v>128132131</v>
      </c>
      <c r="U296" t="s">
        <v>148</v>
      </c>
      <c r="V296" t="s">
        <v>9</v>
      </c>
    </row>
    <row r="297" spans="1:22" x14ac:dyDescent="0.25">
      <c r="A297">
        <v>41473431379</v>
      </c>
      <c r="B297" t="s">
        <v>2</v>
      </c>
      <c r="C297" t="s">
        <v>185</v>
      </c>
      <c r="D297">
        <v>41473431379</v>
      </c>
      <c r="E297" s="1">
        <v>46220.570453796296</v>
      </c>
      <c r="F297">
        <v>115</v>
      </c>
      <c r="G297">
        <v>3</v>
      </c>
      <c r="H297" t="s">
        <v>4</v>
      </c>
      <c r="I297" t="s">
        <v>5</v>
      </c>
      <c r="J297" t="s">
        <v>6</v>
      </c>
      <c r="K297">
        <v>45057828</v>
      </c>
      <c r="L297">
        <v>609204</v>
      </c>
      <c r="M297">
        <v>25000</v>
      </c>
      <c r="N297" t="s">
        <v>7</v>
      </c>
      <c r="O297">
        <v>322637.40999999997</v>
      </c>
      <c r="P297" t="s">
        <v>184</v>
      </c>
      <c r="Q297" t="s">
        <v>8</v>
      </c>
      <c r="R297">
        <v>113366470</v>
      </c>
      <c r="S297">
        <v>113366470</v>
      </c>
      <c r="T297">
        <v>113366470</v>
      </c>
      <c r="U297" t="s">
        <v>182</v>
      </c>
      <c r="V297" t="s">
        <v>183</v>
      </c>
    </row>
    <row r="298" spans="1:22" x14ac:dyDescent="0.25">
      <c r="A298">
        <v>41475226924</v>
      </c>
      <c r="B298" t="s">
        <v>10</v>
      </c>
      <c r="C298" t="s">
        <v>185</v>
      </c>
      <c r="D298">
        <v>41475226924</v>
      </c>
      <c r="E298" s="1">
        <v>46221.686187812498</v>
      </c>
      <c r="F298">
        <v>115</v>
      </c>
      <c r="G298">
        <v>3</v>
      </c>
      <c r="H298" t="s">
        <v>4</v>
      </c>
      <c r="I298" t="s">
        <v>5</v>
      </c>
      <c r="J298" t="s">
        <v>6</v>
      </c>
      <c r="K298">
        <v>24510889</v>
      </c>
      <c r="L298">
        <v>230163</v>
      </c>
      <c r="M298">
        <v>10000</v>
      </c>
      <c r="N298" t="s">
        <v>7</v>
      </c>
      <c r="O298">
        <v>129054.96</v>
      </c>
      <c r="P298" t="s">
        <v>188</v>
      </c>
      <c r="Q298" t="s">
        <v>8</v>
      </c>
      <c r="R298">
        <v>115686289</v>
      </c>
      <c r="S298">
        <v>115686289</v>
      </c>
      <c r="T298">
        <v>115686289</v>
      </c>
      <c r="U298" t="s">
        <v>189</v>
      </c>
      <c r="V298" t="s">
        <v>15</v>
      </c>
    </row>
    <row r="299" spans="1:22" x14ac:dyDescent="0.25">
      <c r="A299">
        <v>41480028554</v>
      </c>
      <c r="B299" t="s">
        <v>10</v>
      </c>
      <c r="C299" t="s">
        <v>185</v>
      </c>
      <c r="D299">
        <v>41480028554</v>
      </c>
      <c r="E299" s="1">
        <v>46224.750596863429</v>
      </c>
      <c r="F299">
        <v>115</v>
      </c>
      <c r="G299">
        <v>3</v>
      </c>
      <c r="H299" t="s">
        <v>4</v>
      </c>
      <c r="I299" t="s">
        <v>5</v>
      </c>
      <c r="J299" t="s">
        <v>6</v>
      </c>
      <c r="K299">
        <v>58200138</v>
      </c>
      <c r="L299">
        <v>608407</v>
      </c>
      <c r="M299">
        <v>50000</v>
      </c>
      <c r="N299" t="s">
        <v>7</v>
      </c>
      <c r="O299">
        <v>649241.99</v>
      </c>
      <c r="P299" t="s">
        <v>100</v>
      </c>
      <c r="Q299" t="s">
        <v>8</v>
      </c>
      <c r="R299">
        <v>105353056</v>
      </c>
      <c r="S299">
        <v>105353056</v>
      </c>
      <c r="T299">
        <v>105353056</v>
      </c>
      <c r="U299" t="s">
        <v>101</v>
      </c>
      <c r="V299" t="s">
        <v>9</v>
      </c>
    </row>
    <row r="300" spans="1:22" x14ac:dyDescent="0.25">
      <c r="A300">
        <v>41483437207</v>
      </c>
      <c r="B300" t="s">
        <v>10</v>
      </c>
      <c r="C300" t="s">
        <v>185</v>
      </c>
      <c r="D300">
        <v>41483437207</v>
      </c>
      <c r="E300" s="1">
        <v>46226.782014652781</v>
      </c>
      <c r="F300">
        <v>115</v>
      </c>
      <c r="G300">
        <v>3</v>
      </c>
      <c r="H300" t="s">
        <v>4</v>
      </c>
      <c r="I300" t="s">
        <v>5</v>
      </c>
      <c r="J300" t="s">
        <v>6</v>
      </c>
      <c r="K300">
        <v>54088624</v>
      </c>
      <c r="L300">
        <v>90643</v>
      </c>
      <c r="M300">
        <v>75000</v>
      </c>
      <c r="N300" t="s">
        <v>7</v>
      </c>
      <c r="O300">
        <v>973862.99</v>
      </c>
      <c r="P300" t="s">
        <v>281</v>
      </c>
      <c r="Q300" t="s">
        <v>8</v>
      </c>
      <c r="R300">
        <v>108965344</v>
      </c>
      <c r="S300">
        <v>108965344</v>
      </c>
      <c r="T300">
        <v>108965344</v>
      </c>
      <c r="U300" t="s">
        <v>282</v>
      </c>
      <c r="V300" t="s">
        <v>9</v>
      </c>
    </row>
    <row r="301" spans="1:22" x14ac:dyDescent="0.25">
      <c r="A301">
        <v>41483254891</v>
      </c>
      <c r="B301" t="s">
        <v>10</v>
      </c>
      <c r="C301" t="s">
        <v>185</v>
      </c>
      <c r="D301">
        <v>41483254891</v>
      </c>
      <c r="E301" s="1">
        <v>46226.731042407409</v>
      </c>
      <c r="F301">
        <v>115</v>
      </c>
      <c r="G301">
        <v>3</v>
      </c>
      <c r="H301" t="s">
        <v>4</v>
      </c>
      <c r="I301" t="s">
        <v>5</v>
      </c>
      <c r="J301" t="s">
        <v>6</v>
      </c>
      <c r="K301">
        <v>73114139</v>
      </c>
      <c r="L301">
        <v>406437</v>
      </c>
      <c r="M301">
        <v>100000</v>
      </c>
      <c r="N301" t="s">
        <v>7</v>
      </c>
      <c r="O301">
        <v>1298483.98</v>
      </c>
      <c r="P301" t="s">
        <v>36</v>
      </c>
      <c r="Q301" t="s">
        <v>8</v>
      </c>
      <c r="R301">
        <v>119228773</v>
      </c>
      <c r="S301">
        <v>119228773</v>
      </c>
      <c r="T301">
        <v>119228773</v>
      </c>
      <c r="U301" t="s">
        <v>37</v>
      </c>
      <c r="V301" t="s">
        <v>15</v>
      </c>
    </row>
    <row r="302" spans="1:22" x14ac:dyDescent="0.25">
      <c r="A302">
        <v>41483063386</v>
      </c>
      <c r="B302" t="s">
        <v>2</v>
      </c>
      <c r="C302" t="s">
        <v>185</v>
      </c>
      <c r="D302">
        <v>41483063386</v>
      </c>
      <c r="E302" s="1">
        <v>46226.662101180555</v>
      </c>
      <c r="F302">
        <v>115</v>
      </c>
      <c r="G302">
        <v>3</v>
      </c>
      <c r="H302" t="s">
        <v>4</v>
      </c>
      <c r="I302" t="s">
        <v>5</v>
      </c>
      <c r="J302" t="s">
        <v>6</v>
      </c>
      <c r="K302">
        <v>83372888</v>
      </c>
      <c r="L302">
        <v>608407</v>
      </c>
      <c r="M302">
        <v>80000</v>
      </c>
      <c r="N302" t="s">
        <v>7</v>
      </c>
      <c r="O302">
        <v>1038787.21</v>
      </c>
      <c r="P302" t="s">
        <v>38</v>
      </c>
      <c r="Q302" t="s">
        <v>8</v>
      </c>
      <c r="R302">
        <v>122720485</v>
      </c>
      <c r="S302">
        <v>122720485</v>
      </c>
      <c r="T302">
        <v>122720485</v>
      </c>
      <c r="U302" t="s">
        <v>39</v>
      </c>
      <c r="V302" t="s">
        <v>9</v>
      </c>
    </row>
    <row r="303" spans="1:22" x14ac:dyDescent="0.25">
      <c r="A303">
        <v>41482548652</v>
      </c>
      <c r="B303" t="s">
        <v>10</v>
      </c>
      <c r="C303" t="s">
        <v>185</v>
      </c>
      <c r="D303">
        <v>41482548652</v>
      </c>
      <c r="E303" s="1">
        <v>46226.492796134262</v>
      </c>
      <c r="F303">
        <v>115</v>
      </c>
      <c r="G303">
        <v>3</v>
      </c>
      <c r="H303" t="s">
        <v>20</v>
      </c>
      <c r="I303" t="s">
        <v>5</v>
      </c>
      <c r="J303" t="s">
        <v>6</v>
      </c>
      <c r="K303">
        <v>13139066</v>
      </c>
      <c r="L303">
        <v>804887</v>
      </c>
      <c r="M303">
        <v>90000</v>
      </c>
      <c r="N303" t="s">
        <v>7</v>
      </c>
      <c r="O303">
        <v>1168635.6399999999</v>
      </c>
      <c r="P303" t="s">
        <v>21</v>
      </c>
      <c r="Q303" t="s">
        <v>8</v>
      </c>
      <c r="R303">
        <v>135198109</v>
      </c>
      <c r="S303">
        <v>135198109</v>
      </c>
      <c r="T303">
        <v>135198109</v>
      </c>
      <c r="U303" t="s">
        <v>22</v>
      </c>
      <c r="V303" t="s">
        <v>15</v>
      </c>
    </row>
    <row r="304" spans="1:22" x14ac:dyDescent="0.25">
      <c r="A304">
        <v>41486213067</v>
      </c>
      <c r="B304" t="s">
        <v>2</v>
      </c>
      <c r="C304" t="s">
        <v>185</v>
      </c>
      <c r="D304">
        <v>41486213067</v>
      </c>
      <c r="E304" s="1">
        <v>46227.852821099536</v>
      </c>
      <c r="F304">
        <v>115</v>
      </c>
      <c r="G304">
        <v>3</v>
      </c>
      <c r="H304" t="s">
        <v>4</v>
      </c>
      <c r="I304" t="s">
        <v>5</v>
      </c>
      <c r="J304" t="s">
        <v>6</v>
      </c>
      <c r="K304">
        <v>26180505</v>
      </c>
      <c r="L304">
        <v>608407</v>
      </c>
      <c r="M304">
        <v>100000</v>
      </c>
      <c r="N304" t="s">
        <v>7</v>
      </c>
      <c r="O304">
        <v>1298483.98</v>
      </c>
      <c r="P304" t="s">
        <v>216</v>
      </c>
      <c r="Q304" t="s">
        <v>8</v>
      </c>
      <c r="R304">
        <v>126118058</v>
      </c>
      <c r="S304">
        <v>126118058</v>
      </c>
      <c r="T304">
        <v>126118058</v>
      </c>
      <c r="U304" t="s">
        <v>264</v>
      </c>
      <c r="V304" t="s">
        <v>15</v>
      </c>
    </row>
    <row r="305" spans="1:22" x14ac:dyDescent="0.25">
      <c r="A305">
        <v>41486216916</v>
      </c>
      <c r="B305" t="s">
        <v>2</v>
      </c>
      <c r="C305" t="s">
        <v>185</v>
      </c>
      <c r="D305">
        <v>41486216916</v>
      </c>
      <c r="E305" s="1">
        <v>46227.854579432867</v>
      </c>
      <c r="F305">
        <v>115</v>
      </c>
      <c r="G305">
        <v>3</v>
      </c>
      <c r="H305" t="s">
        <v>4</v>
      </c>
      <c r="I305" t="s">
        <v>5</v>
      </c>
      <c r="J305" t="s">
        <v>6</v>
      </c>
      <c r="K305">
        <v>26180505</v>
      </c>
      <c r="L305">
        <v>608407</v>
      </c>
      <c r="M305">
        <v>100000</v>
      </c>
      <c r="N305" t="s">
        <v>7</v>
      </c>
      <c r="O305">
        <v>1298483.98</v>
      </c>
      <c r="P305" t="s">
        <v>216</v>
      </c>
      <c r="Q305" t="s">
        <v>8</v>
      </c>
      <c r="R305">
        <v>126118058</v>
      </c>
      <c r="S305">
        <v>126118058</v>
      </c>
      <c r="T305">
        <v>126118058</v>
      </c>
      <c r="U305" t="s">
        <v>264</v>
      </c>
      <c r="V305" t="s">
        <v>15</v>
      </c>
    </row>
    <row r="306" spans="1:22" x14ac:dyDescent="0.25">
      <c r="A306">
        <v>41486224304</v>
      </c>
      <c r="B306" t="s">
        <v>2</v>
      </c>
      <c r="C306" t="s">
        <v>185</v>
      </c>
      <c r="D306">
        <v>41486224304</v>
      </c>
      <c r="E306" s="1">
        <v>46227.857881863427</v>
      </c>
      <c r="F306">
        <v>115</v>
      </c>
      <c r="G306">
        <v>3</v>
      </c>
      <c r="H306" t="s">
        <v>4</v>
      </c>
      <c r="I306" t="s">
        <v>5</v>
      </c>
      <c r="J306" t="s">
        <v>6</v>
      </c>
      <c r="K306">
        <v>26180505</v>
      </c>
      <c r="L306">
        <v>608407</v>
      </c>
      <c r="M306">
        <v>100000</v>
      </c>
      <c r="N306" t="s">
        <v>7</v>
      </c>
      <c r="O306">
        <v>1298483.98</v>
      </c>
      <c r="P306" t="s">
        <v>265</v>
      </c>
      <c r="Q306" t="s">
        <v>8</v>
      </c>
      <c r="R306">
        <v>126118058</v>
      </c>
      <c r="S306">
        <v>126118058</v>
      </c>
      <c r="T306">
        <v>126118058</v>
      </c>
      <c r="U306" t="s">
        <v>264</v>
      </c>
      <c r="V306" t="s">
        <v>15</v>
      </c>
    </row>
    <row r="307" spans="1:22" x14ac:dyDescent="0.25">
      <c r="A307">
        <v>41486220957</v>
      </c>
      <c r="B307" t="s">
        <v>2</v>
      </c>
      <c r="C307" t="s">
        <v>185</v>
      </c>
      <c r="D307">
        <v>41486220957</v>
      </c>
      <c r="E307" s="1">
        <v>46227.856335497687</v>
      </c>
      <c r="F307">
        <v>115</v>
      </c>
      <c r="G307">
        <v>3</v>
      </c>
      <c r="H307" t="s">
        <v>4</v>
      </c>
      <c r="I307" t="s">
        <v>5</v>
      </c>
      <c r="J307" t="s">
        <v>6</v>
      </c>
      <c r="K307">
        <v>26180505</v>
      </c>
      <c r="L307">
        <v>608407</v>
      </c>
      <c r="M307">
        <v>100000</v>
      </c>
      <c r="N307" t="s">
        <v>7</v>
      </c>
      <c r="O307">
        <v>1298483.98</v>
      </c>
      <c r="P307" t="s">
        <v>265</v>
      </c>
      <c r="Q307" t="s">
        <v>8</v>
      </c>
      <c r="R307">
        <v>126118058</v>
      </c>
      <c r="S307">
        <v>126118058</v>
      </c>
      <c r="T307">
        <v>126118058</v>
      </c>
      <c r="U307" t="s">
        <v>264</v>
      </c>
      <c r="V307" t="s">
        <v>15</v>
      </c>
    </row>
    <row r="308" spans="1:22" x14ac:dyDescent="0.25">
      <c r="A308">
        <v>41485691443</v>
      </c>
      <c r="B308" t="s">
        <v>10</v>
      </c>
      <c r="C308" t="s">
        <v>185</v>
      </c>
      <c r="D308">
        <v>41485691443</v>
      </c>
      <c r="E308" s="1">
        <v>46227.673347314812</v>
      </c>
      <c r="F308">
        <v>115</v>
      </c>
      <c r="G308">
        <v>3</v>
      </c>
      <c r="H308" t="s">
        <v>4</v>
      </c>
      <c r="I308" t="s">
        <v>5</v>
      </c>
      <c r="J308" t="s">
        <v>6</v>
      </c>
      <c r="K308">
        <v>81635056</v>
      </c>
      <c r="L308">
        <v>406437</v>
      </c>
      <c r="M308">
        <v>50000</v>
      </c>
      <c r="N308" t="s">
        <v>7</v>
      </c>
      <c r="O308">
        <v>649241.99</v>
      </c>
      <c r="P308" t="s">
        <v>351</v>
      </c>
      <c r="Q308" t="s">
        <v>8</v>
      </c>
      <c r="R308">
        <v>121862155</v>
      </c>
      <c r="S308">
        <v>121862155</v>
      </c>
      <c r="T308">
        <v>121862155</v>
      </c>
      <c r="U308" t="s">
        <v>352</v>
      </c>
      <c r="V308" t="s">
        <v>9</v>
      </c>
    </row>
    <row r="309" spans="1:22" x14ac:dyDescent="0.25">
      <c r="A309">
        <v>41492391683</v>
      </c>
      <c r="B309" t="s">
        <v>10</v>
      </c>
      <c r="C309" t="s">
        <v>185</v>
      </c>
      <c r="D309">
        <v>41492391683</v>
      </c>
      <c r="E309" s="1">
        <v>46231.455869675927</v>
      </c>
      <c r="F309">
        <v>115</v>
      </c>
      <c r="G309">
        <v>3</v>
      </c>
      <c r="H309" t="s">
        <v>4</v>
      </c>
      <c r="I309" t="s">
        <v>5</v>
      </c>
      <c r="J309" t="s">
        <v>6</v>
      </c>
      <c r="K309">
        <v>43255473</v>
      </c>
      <c r="L309">
        <v>608407</v>
      </c>
      <c r="M309">
        <v>25000</v>
      </c>
      <c r="N309" t="s">
        <v>7</v>
      </c>
      <c r="O309">
        <v>324621</v>
      </c>
      <c r="P309" t="s">
        <v>323</v>
      </c>
      <c r="Q309" t="s">
        <v>8</v>
      </c>
      <c r="R309">
        <v>115377780</v>
      </c>
      <c r="S309">
        <v>115377780</v>
      </c>
      <c r="T309">
        <v>115377780</v>
      </c>
      <c r="U309" t="s">
        <v>324</v>
      </c>
      <c r="V309" t="s">
        <v>15</v>
      </c>
    </row>
    <row r="310" spans="1:22" x14ac:dyDescent="0.25">
      <c r="A310">
        <v>41497065241</v>
      </c>
      <c r="B310" t="s">
        <v>10</v>
      </c>
      <c r="C310" t="s">
        <v>185</v>
      </c>
      <c r="D310">
        <v>41497065241</v>
      </c>
      <c r="E310" s="1">
        <v>46233.851045023148</v>
      </c>
      <c r="F310">
        <v>115</v>
      </c>
      <c r="G310">
        <v>3</v>
      </c>
      <c r="H310" t="s">
        <v>4</v>
      </c>
      <c r="I310" t="s">
        <v>5</v>
      </c>
      <c r="J310" t="s">
        <v>6</v>
      </c>
      <c r="K310">
        <v>73002616</v>
      </c>
      <c r="L310">
        <v>206155</v>
      </c>
      <c r="M310">
        <v>14644.06</v>
      </c>
      <c r="N310" t="s">
        <v>7</v>
      </c>
      <c r="O310">
        <v>190150.8</v>
      </c>
      <c r="P310" t="s">
        <v>266</v>
      </c>
      <c r="Q310" t="s">
        <v>8</v>
      </c>
      <c r="R310">
        <v>147888564</v>
      </c>
      <c r="S310">
        <v>125780189</v>
      </c>
      <c r="T310">
        <v>147888564</v>
      </c>
      <c r="U310" t="s">
        <v>267</v>
      </c>
      <c r="V310" t="s">
        <v>15</v>
      </c>
    </row>
    <row r="311" spans="1:22" x14ac:dyDescent="0.25">
      <c r="A311">
        <v>41499878714</v>
      </c>
      <c r="B311" t="s">
        <v>10</v>
      </c>
      <c r="C311" t="s">
        <v>185</v>
      </c>
      <c r="D311">
        <v>41499878714</v>
      </c>
      <c r="E311" s="1">
        <v>46235.681359004629</v>
      </c>
      <c r="F311">
        <v>115</v>
      </c>
      <c r="G311">
        <v>3</v>
      </c>
      <c r="H311" t="s">
        <v>4</v>
      </c>
      <c r="I311" t="s">
        <v>5</v>
      </c>
      <c r="J311" t="s">
        <v>6</v>
      </c>
      <c r="K311">
        <v>10475655</v>
      </c>
      <c r="L311">
        <v>40831</v>
      </c>
      <c r="M311">
        <v>50000</v>
      </c>
      <c r="N311" t="s">
        <v>7</v>
      </c>
      <c r="O311">
        <v>649241.99</v>
      </c>
      <c r="P311" t="s">
        <v>300</v>
      </c>
      <c r="Q311" t="s">
        <v>8</v>
      </c>
      <c r="R311">
        <v>105779995</v>
      </c>
      <c r="S311">
        <v>105779995</v>
      </c>
      <c r="T311">
        <v>105779995</v>
      </c>
      <c r="U311" t="s">
        <v>301</v>
      </c>
      <c r="V311" t="s">
        <v>9</v>
      </c>
    </row>
    <row r="312" spans="1:22" x14ac:dyDescent="0.25">
      <c r="A312">
        <v>41499919515</v>
      </c>
      <c r="B312" t="s">
        <v>2</v>
      </c>
      <c r="C312" t="s">
        <v>185</v>
      </c>
      <c r="D312">
        <v>41499919515</v>
      </c>
      <c r="E312" s="1">
        <v>46235.700332476852</v>
      </c>
      <c r="F312">
        <v>115</v>
      </c>
      <c r="G312">
        <v>3</v>
      </c>
      <c r="H312" t="s">
        <v>4</v>
      </c>
      <c r="I312" t="s">
        <v>5</v>
      </c>
      <c r="J312" t="s">
        <v>6</v>
      </c>
      <c r="K312">
        <v>38307720</v>
      </c>
      <c r="L312">
        <v>90130</v>
      </c>
      <c r="M312">
        <v>40240.32</v>
      </c>
      <c r="N312" t="s">
        <v>7</v>
      </c>
      <c r="O312">
        <v>522514.15</v>
      </c>
      <c r="P312" t="s">
        <v>302</v>
      </c>
      <c r="Q312" t="s">
        <v>8</v>
      </c>
      <c r="R312">
        <v>119007375</v>
      </c>
      <c r="S312">
        <v>119007375</v>
      </c>
      <c r="T312">
        <v>119007375</v>
      </c>
      <c r="U312" t="s">
        <v>303</v>
      </c>
      <c r="V312" t="s">
        <v>15</v>
      </c>
    </row>
    <row r="313" spans="1:22" x14ac:dyDescent="0.25">
      <c r="A313">
        <v>41501265441</v>
      </c>
      <c r="B313" t="s">
        <v>2</v>
      </c>
      <c r="C313" t="s">
        <v>185</v>
      </c>
      <c r="D313">
        <v>41501265441</v>
      </c>
      <c r="E313" s="1">
        <v>46236.717546967593</v>
      </c>
      <c r="F313">
        <v>115</v>
      </c>
      <c r="G313">
        <v>3</v>
      </c>
      <c r="H313" t="s">
        <v>143</v>
      </c>
      <c r="I313" t="s">
        <v>5</v>
      </c>
      <c r="J313" t="s">
        <v>6</v>
      </c>
      <c r="K313">
        <v>25574811</v>
      </c>
      <c r="L313">
        <v>403232</v>
      </c>
      <c r="M313">
        <v>10000</v>
      </c>
      <c r="N313" t="s">
        <v>7</v>
      </c>
      <c r="O313">
        <v>129848.44</v>
      </c>
      <c r="P313" t="s">
        <v>328</v>
      </c>
      <c r="Q313" t="s">
        <v>11</v>
      </c>
      <c r="R313">
        <v>147009427</v>
      </c>
      <c r="S313">
        <v>147009427</v>
      </c>
      <c r="T313">
        <v>147009427</v>
      </c>
      <c r="U313" t="s">
        <v>329</v>
      </c>
      <c r="V313" t="s">
        <v>9</v>
      </c>
    </row>
    <row r="314" spans="1:22" x14ac:dyDescent="0.25">
      <c r="A314">
        <v>41502622988</v>
      </c>
      <c r="B314" t="s">
        <v>10</v>
      </c>
      <c r="C314" t="s">
        <v>185</v>
      </c>
      <c r="D314">
        <v>41502622988</v>
      </c>
      <c r="E314" s="1">
        <v>46237.631411585651</v>
      </c>
      <c r="F314">
        <v>69</v>
      </c>
      <c r="G314">
        <v>3</v>
      </c>
      <c r="H314" t="s">
        <v>143</v>
      </c>
      <c r="I314" t="s">
        <v>5</v>
      </c>
      <c r="J314" t="s">
        <v>6</v>
      </c>
      <c r="K314">
        <v>9017860</v>
      </c>
      <c r="L314">
        <v>403232</v>
      </c>
      <c r="M314">
        <v>500000</v>
      </c>
      <c r="N314" t="s">
        <v>7</v>
      </c>
      <c r="O314">
        <v>6492420.0099999998</v>
      </c>
      <c r="P314" t="s">
        <v>279</v>
      </c>
      <c r="Q314" t="s">
        <v>8</v>
      </c>
      <c r="R314">
        <v>108407818</v>
      </c>
      <c r="S314">
        <v>108407818</v>
      </c>
      <c r="T314">
        <v>108407818</v>
      </c>
      <c r="U314" t="s">
        <v>280</v>
      </c>
      <c r="V314" t="s">
        <v>9</v>
      </c>
    </row>
    <row r="315" spans="1:22" x14ac:dyDescent="0.25">
      <c r="A315">
        <v>41502365582</v>
      </c>
      <c r="B315" t="s">
        <v>10</v>
      </c>
      <c r="C315" t="s">
        <v>185</v>
      </c>
      <c r="D315">
        <v>41502365582</v>
      </c>
      <c r="E315" s="1">
        <v>46237.546154699077</v>
      </c>
      <c r="F315">
        <v>115</v>
      </c>
      <c r="G315">
        <v>3</v>
      </c>
      <c r="H315" t="s">
        <v>4</v>
      </c>
      <c r="I315" t="s">
        <v>5</v>
      </c>
      <c r="J315" t="s">
        <v>6</v>
      </c>
      <c r="K315">
        <v>3649830</v>
      </c>
      <c r="L315">
        <v>203775</v>
      </c>
      <c r="M315">
        <v>100000</v>
      </c>
      <c r="N315" t="s">
        <v>7</v>
      </c>
      <c r="O315">
        <v>1298483.98</v>
      </c>
      <c r="P315" t="s">
        <v>330</v>
      </c>
      <c r="Q315" t="s">
        <v>8</v>
      </c>
      <c r="R315">
        <v>124780263</v>
      </c>
      <c r="S315">
        <v>124780263</v>
      </c>
      <c r="T315">
        <v>124780263</v>
      </c>
      <c r="U315" t="s">
        <v>331</v>
      </c>
      <c r="V315" t="s">
        <v>15</v>
      </c>
    </row>
    <row r="316" spans="1:22" x14ac:dyDescent="0.25">
      <c r="A316">
        <v>41504635203</v>
      </c>
      <c r="B316" t="s">
        <v>2</v>
      </c>
      <c r="C316" t="s">
        <v>185</v>
      </c>
      <c r="D316">
        <v>41504635203</v>
      </c>
      <c r="E316" s="1">
        <v>46238.797782303242</v>
      </c>
      <c r="F316">
        <v>115</v>
      </c>
      <c r="G316">
        <v>3</v>
      </c>
      <c r="H316" t="s">
        <v>332</v>
      </c>
      <c r="I316" t="s">
        <v>5</v>
      </c>
      <c r="J316" t="s">
        <v>6</v>
      </c>
      <c r="K316">
        <v>12470709</v>
      </c>
      <c r="L316">
        <v>608371</v>
      </c>
      <c r="M316">
        <v>18000</v>
      </c>
      <c r="N316" t="s">
        <v>7</v>
      </c>
      <c r="O316">
        <v>233727.09</v>
      </c>
      <c r="P316" t="s">
        <v>333</v>
      </c>
      <c r="Q316" t="s">
        <v>8</v>
      </c>
      <c r="R316">
        <v>128324746</v>
      </c>
      <c r="S316">
        <v>128324746</v>
      </c>
      <c r="T316">
        <v>128324746</v>
      </c>
      <c r="U316" t="s">
        <v>334</v>
      </c>
      <c r="V316" t="s">
        <v>335</v>
      </c>
    </row>
    <row r="317" spans="1:22" x14ac:dyDescent="0.25">
      <c r="A317">
        <v>41506175931</v>
      </c>
      <c r="B317" t="s">
        <v>10</v>
      </c>
      <c r="C317" t="s">
        <v>185</v>
      </c>
      <c r="D317">
        <v>41506175931</v>
      </c>
      <c r="E317" s="1">
        <v>46239.801748020836</v>
      </c>
      <c r="F317">
        <v>115</v>
      </c>
      <c r="G317">
        <v>3</v>
      </c>
      <c r="H317" t="s">
        <v>311</v>
      </c>
      <c r="I317" t="s">
        <v>5</v>
      </c>
      <c r="J317" t="s">
        <v>6</v>
      </c>
      <c r="K317">
        <v>80166232</v>
      </c>
      <c r="L317">
        <v>159900</v>
      </c>
      <c r="M317">
        <v>100000</v>
      </c>
      <c r="N317" t="s">
        <v>7</v>
      </c>
      <c r="O317">
        <v>1298483.98</v>
      </c>
      <c r="P317" t="s">
        <v>45</v>
      </c>
      <c r="Q317" t="s">
        <v>8</v>
      </c>
      <c r="R317">
        <v>107953069</v>
      </c>
      <c r="S317">
        <v>107953069</v>
      </c>
      <c r="T317">
        <v>107953069</v>
      </c>
      <c r="U317" t="s">
        <v>312</v>
      </c>
      <c r="V317" t="s">
        <v>15</v>
      </c>
    </row>
    <row r="318" spans="1:22" x14ac:dyDescent="0.25">
      <c r="A318">
        <v>41506176989</v>
      </c>
      <c r="B318" t="s">
        <v>10</v>
      </c>
      <c r="C318" t="s">
        <v>185</v>
      </c>
      <c r="D318">
        <v>41506176989</v>
      </c>
      <c r="E318" s="1">
        <v>46239.802213900461</v>
      </c>
      <c r="F318">
        <v>115</v>
      </c>
      <c r="G318">
        <v>3</v>
      </c>
      <c r="H318" t="s">
        <v>311</v>
      </c>
      <c r="I318" t="s">
        <v>5</v>
      </c>
      <c r="J318" t="s">
        <v>6</v>
      </c>
      <c r="K318">
        <v>80166232</v>
      </c>
      <c r="L318">
        <v>159900</v>
      </c>
      <c r="M318">
        <v>100000</v>
      </c>
      <c r="N318" t="s">
        <v>7</v>
      </c>
      <c r="O318">
        <v>1298483.98</v>
      </c>
      <c r="P318" t="s">
        <v>45</v>
      </c>
      <c r="Q318" t="s">
        <v>8</v>
      </c>
      <c r="R318">
        <v>107953069</v>
      </c>
      <c r="S318">
        <v>107953069</v>
      </c>
      <c r="T318">
        <v>107953069</v>
      </c>
      <c r="U318" t="s">
        <v>312</v>
      </c>
      <c r="V318" t="s">
        <v>15</v>
      </c>
    </row>
    <row r="319" spans="1:22" x14ac:dyDescent="0.25">
      <c r="A319">
        <v>41507542452</v>
      </c>
      <c r="B319" t="s">
        <v>2</v>
      </c>
      <c r="C319" t="s">
        <v>185</v>
      </c>
      <c r="D319">
        <v>41507542452</v>
      </c>
      <c r="E319" s="1">
        <v>46240.723994270833</v>
      </c>
      <c r="F319">
        <v>115</v>
      </c>
      <c r="G319">
        <v>3</v>
      </c>
      <c r="H319" t="s">
        <v>4</v>
      </c>
      <c r="I319" t="s">
        <v>5</v>
      </c>
      <c r="J319" t="s">
        <v>6</v>
      </c>
      <c r="K319">
        <v>83770192</v>
      </c>
      <c r="L319">
        <v>203964</v>
      </c>
      <c r="M319">
        <v>99000</v>
      </c>
      <c r="N319" t="s">
        <v>7</v>
      </c>
      <c r="O319">
        <v>1285499.1399999999</v>
      </c>
      <c r="P319" t="s">
        <v>275</v>
      </c>
      <c r="Q319" t="s">
        <v>8</v>
      </c>
      <c r="R319">
        <v>111831293</v>
      </c>
      <c r="S319">
        <v>111831293</v>
      </c>
      <c r="T319">
        <v>111831293</v>
      </c>
      <c r="U319" t="s">
        <v>276</v>
      </c>
      <c r="V319" t="s">
        <v>9</v>
      </c>
    </row>
    <row r="320" spans="1:22" x14ac:dyDescent="0.25">
      <c r="A320">
        <v>41507370412</v>
      </c>
      <c r="B320" t="s">
        <v>10</v>
      </c>
      <c r="C320" t="s">
        <v>185</v>
      </c>
      <c r="D320">
        <v>41507370412</v>
      </c>
      <c r="E320" s="1">
        <v>46240.658783715277</v>
      </c>
      <c r="F320">
        <v>69</v>
      </c>
      <c r="G320">
        <v>3</v>
      </c>
      <c r="H320" t="s">
        <v>336</v>
      </c>
      <c r="I320" t="s">
        <v>5</v>
      </c>
      <c r="J320" t="s">
        <v>6</v>
      </c>
      <c r="K320">
        <v>94457662</v>
      </c>
      <c r="L320">
        <v>10541</v>
      </c>
      <c r="M320">
        <v>131250</v>
      </c>
      <c r="N320" t="s">
        <v>7</v>
      </c>
      <c r="O320">
        <v>1704260.23</v>
      </c>
      <c r="P320" t="s">
        <v>337</v>
      </c>
      <c r="Q320" t="s">
        <v>8</v>
      </c>
      <c r="R320">
        <v>103220075</v>
      </c>
      <c r="S320">
        <v>103220075</v>
      </c>
      <c r="T320">
        <v>103220075</v>
      </c>
      <c r="U320" t="s">
        <v>338</v>
      </c>
      <c r="V320" t="s">
        <v>9</v>
      </c>
    </row>
    <row r="321" spans="1:22" x14ac:dyDescent="0.25">
      <c r="A321">
        <v>41506612587</v>
      </c>
      <c r="B321" t="s">
        <v>2</v>
      </c>
      <c r="C321" t="s">
        <v>185</v>
      </c>
      <c r="D321">
        <v>41506612587</v>
      </c>
      <c r="E321" s="1">
        <v>46240.368106863425</v>
      </c>
      <c r="F321">
        <v>115</v>
      </c>
      <c r="G321">
        <v>3</v>
      </c>
      <c r="H321" t="s">
        <v>4</v>
      </c>
      <c r="I321" t="s">
        <v>5</v>
      </c>
      <c r="J321" t="s">
        <v>6</v>
      </c>
      <c r="K321">
        <v>83280502</v>
      </c>
      <c r="L321">
        <v>230120</v>
      </c>
      <c r="M321">
        <v>10000</v>
      </c>
      <c r="N321" t="s">
        <v>7</v>
      </c>
      <c r="O321">
        <v>129848.44</v>
      </c>
      <c r="P321" t="s">
        <v>79</v>
      </c>
      <c r="Q321" t="s">
        <v>11</v>
      </c>
      <c r="R321">
        <v>141378075</v>
      </c>
      <c r="S321">
        <v>141378075</v>
      </c>
      <c r="T321">
        <v>141378075</v>
      </c>
      <c r="U321" t="s">
        <v>355</v>
      </c>
      <c r="V321" t="s">
        <v>9</v>
      </c>
    </row>
    <row r="322" spans="1:22" x14ac:dyDescent="0.25">
      <c r="A322">
        <v>41509375121</v>
      </c>
      <c r="B322" t="s">
        <v>2</v>
      </c>
      <c r="C322" t="s">
        <v>185</v>
      </c>
      <c r="D322">
        <v>41509375121</v>
      </c>
      <c r="E322" s="1">
        <v>46241.82651215278</v>
      </c>
      <c r="F322">
        <v>115</v>
      </c>
      <c r="G322">
        <v>3</v>
      </c>
      <c r="H322" t="s">
        <v>4</v>
      </c>
      <c r="I322" t="s">
        <v>5</v>
      </c>
      <c r="J322" t="s">
        <v>6</v>
      </c>
      <c r="K322">
        <v>93108627</v>
      </c>
      <c r="L322">
        <v>206518</v>
      </c>
      <c r="M322">
        <v>30000</v>
      </c>
      <c r="N322" t="s">
        <v>7</v>
      </c>
      <c r="O322">
        <v>389545.21</v>
      </c>
      <c r="P322" t="s">
        <v>339</v>
      </c>
      <c r="Q322" t="s">
        <v>8</v>
      </c>
      <c r="R322">
        <v>110890316</v>
      </c>
      <c r="S322">
        <v>110890316</v>
      </c>
      <c r="T322">
        <v>110890316</v>
      </c>
      <c r="U322" t="s">
        <v>340</v>
      </c>
      <c r="V322" t="s">
        <v>9</v>
      </c>
    </row>
    <row r="323" spans="1:22" x14ac:dyDescent="0.25">
      <c r="A323">
        <v>41508569084</v>
      </c>
      <c r="B323" t="s">
        <v>10</v>
      </c>
      <c r="C323" t="s">
        <v>185</v>
      </c>
      <c r="D323">
        <v>41508569084</v>
      </c>
      <c r="E323" s="1">
        <v>46241.525195162038</v>
      </c>
      <c r="F323">
        <v>115</v>
      </c>
      <c r="G323">
        <v>3</v>
      </c>
      <c r="H323" t="s">
        <v>4</v>
      </c>
      <c r="I323" t="s">
        <v>5</v>
      </c>
      <c r="J323" t="s">
        <v>6</v>
      </c>
      <c r="K323">
        <v>90673684</v>
      </c>
      <c r="L323">
        <v>204451</v>
      </c>
      <c r="M323">
        <v>49999</v>
      </c>
      <c r="N323" t="s">
        <v>7</v>
      </c>
      <c r="O323">
        <v>649229.06000000006</v>
      </c>
      <c r="P323" t="s">
        <v>277</v>
      </c>
      <c r="Q323" t="s">
        <v>8</v>
      </c>
      <c r="R323">
        <v>145002978</v>
      </c>
      <c r="S323">
        <v>145002978</v>
      </c>
      <c r="T323">
        <v>145002978</v>
      </c>
      <c r="U323" t="s">
        <v>278</v>
      </c>
      <c r="V323" t="s">
        <v>9</v>
      </c>
    </row>
    <row r="324" spans="1:22" x14ac:dyDescent="0.25">
      <c r="A324">
        <v>41447499790</v>
      </c>
      <c r="B324" t="s">
        <v>2</v>
      </c>
      <c r="C324" t="s">
        <v>190</v>
      </c>
      <c r="D324">
        <v>41447499790</v>
      </c>
      <c r="E324" s="1">
        <v>46204.618747534725</v>
      </c>
      <c r="F324">
        <v>115</v>
      </c>
      <c r="G324">
        <v>3</v>
      </c>
      <c r="H324" t="s">
        <v>29</v>
      </c>
      <c r="I324" t="s">
        <v>5</v>
      </c>
      <c r="J324" t="s">
        <v>6</v>
      </c>
      <c r="K324">
        <v>23901216</v>
      </c>
      <c r="L324">
        <v>406377</v>
      </c>
      <c r="M324">
        <v>61286.07</v>
      </c>
      <c r="N324" t="s">
        <v>7</v>
      </c>
      <c r="O324">
        <v>788427.31</v>
      </c>
      <c r="P324" t="s">
        <v>30</v>
      </c>
      <c r="Q324" t="s">
        <v>8</v>
      </c>
      <c r="R324">
        <v>119309359</v>
      </c>
      <c r="S324">
        <v>119309359</v>
      </c>
      <c r="T324">
        <v>119309359</v>
      </c>
      <c r="U324" t="s">
        <v>31</v>
      </c>
      <c r="V324" t="s">
        <v>9</v>
      </c>
    </row>
    <row r="325" spans="1:22" x14ac:dyDescent="0.25">
      <c r="A325">
        <v>41447338345</v>
      </c>
      <c r="B325" t="s">
        <v>2</v>
      </c>
      <c r="C325" t="s">
        <v>190</v>
      </c>
      <c r="D325">
        <v>41447338345</v>
      </c>
      <c r="E325" s="1">
        <v>46204.567366400464</v>
      </c>
      <c r="F325">
        <v>115</v>
      </c>
      <c r="G325">
        <v>3</v>
      </c>
      <c r="H325" t="s">
        <v>4</v>
      </c>
      <c r="I325" t="s">
        <v>5</v>
      </c>
      <c r="J325" t="s">
        <v>6</v>
      </c>
      <c r="K325">
        <v>42272574</v>
      </c>
      <c r="L325">
        <v>406437</v>
      </c>
      <c r="M325">
        <v>30143.03</v>
      </c>
      <c r="N325" t="s">
        <v>7</v>
      </c>
      <c r="O325">
        <v>387781.2</v>
      </c>
      <c r="P325" t="s">
        <v>32</v>
      </c>
      <c r="Q325" t="s">
        <v>8</v>
      </c>
      <c r="R325">
        <v>119309359</v>
      </c>
      <c r="S325">
        <v>119309359</v>
      </c>
      <c r="T325">
        <v>119309359</v>
      </c>
      <c r="U325" t="s">
        <v>31</v>
      </c>
      <c r="V325" t="s">
        <v>9</v>
      </c>
    </row>
    <row r="326" spans="1:22" x14ac:dyDescent="0.25">
      <c r="A326">
        <v>41447336274</v>
      </c>
      <c r="B326" t="s">
        <v>2</v>
      </c>
      <c r="C326" t="s">
        <v>190</v>
      </c>
      <c r="D326">
        <v>41447336274</v>
      </c>
      <c r="E326" s="1">
        <v>46204.566646631945</v>
      </c>
      <c r="F326">
        <v>115</v>
      </c>
      <c r="G326">
        <v>3</v>
      </c>
      <c r="H326" t="s">
        <v>4</v>
      </c>
      <c r="I326" t="s">
        <v>5</v>
      </c>
      <c r="J326" t="s">
        <v>6</v>
      </c>
      <c r="K326">
        <v>81595468</v>
      </c>
      <c r="L326">
        <v>406437</v>
      </c>
      <c r="M326">
        <v>30143.01</v>
      </c>
      <c r="N326" t="s">
        <v>7</v>
      </c>
      <c r="O326">
        <v>387781.01</v>
      </c>
      <c r="P326" t="s">
        <v>33</v>
      </c>
      <c r="Q326" t="s">
        <v>8</v>
      </c>
      <c r="R326">
        <v>119309359</v>
      </c>
      <c r="S326">
        <v>119309359</v>
      </c>
      <c r="T326">
        <v>119309359</v>
      </c>
      <c r="U326" t="s">
        <v>31</v>
      </c>
      <c r="V326" t="s">
        <v>9</v>
      </c>
    </row>
    <row r="327" spans="1:22" x14ac:dyDescent="0.25">
      <c r="A327">
        <v>41451349515</v>
      </c>
      <c r="B327" t="s">
        <v>2</v>
      </c>
      <c r="C327" t="s">
        <v>190</v>
      </c>
      <c r="D327">
        <v>41451349515</v>
      </c>
      <c r="E327" s="1">
        <v>46206.681241840277</v>
      </c>
      <c r="F327">
        <v>115</v>
      </c>
      <c r="G327">
        <v>3</v>
      </c>
      <c r="H327" t="s">
        <v>4</v>
      </c>
      <c r="I327" t="s">
        <v>5</v>
      </c>
      <c r="J327" t="s">
        <v>6</v>
      </c>
      <c r="K327">
        <v>16281625</v>
      </c>
      <c r="L327">
        <v>608407</v>
      </c>
      <c r="M327">
        <v>50000</v>
      </c>
      <c r="N327" t="s">
        <v>7</v>
      </c>
      <c r="O327">
        <v>645274.81999999995</v>
      </c>
      <c r="P327" t="s">
        <v>61</v>
      </c>
      <c r="Q327" t="s">
        <v>8</v>
      </c>
      <c r="R327">
        <v>128533080</v>
      </c>
      <c r="S327">
        <v>128533080</v>
      </c>
      <c r="T327">
        <v>128533080</v>
      </c>
      <c r="U327" t="s">
        <v>62</v>
      </c>
      <c r="V327" t="s">
        <v>63</v>
      </c>
    </row>
    <row r="328" spans="1:22" x14ac:dyDescent="0.25">
      <c r="A328">
        <v>41451347753</v>
      </c>
      <c r="B328" t="s">
        <v>2</v>
      </c>
      <c r="C328" t="s">
        <v>190</v>
      </c>
      <c r="D328">
        <v>41451347753</v>
      </c>
      <c r="E328" s="1">
        <v>46206.680642743057</v>
      </c>
      <c r="F328">
        <v>115</v>
      </c>
      <c r="G328">
        <v>3</v>
      </c>
      <c r="H328" t="s">
        <v>4</v>
      </c>
      <c r="I328" t="s">
        <v>5</v>
      </c>
      <c r="J328" t="s">
        <v>6</v>
      </c>
      <c r="K328">
        <v>16281625</v>
      </c>
      <c r="L328">
        <v>608407</v>
      </c>
      <c r="M328">
        <v>100000</v>
      </c>
      <c r="N328" t="s">
        <v>7</v>
      </c>
      <c r="O328">
        <v>1290549.53</v>
      </c>
      <c r="P328" t="s">
        <v>61</v>
      </c>
      <c r="Q328" t="s">
        <v>8</v>
      </c>
      <c r="R328">
        <v>128533080</v>
      </c>
      <c r="S328">
        <v>128533080</v>
      </c>
      <c r="T328">
        <v>128533080</v>
      </c>
      <c r="U328" t="s">
        <v>62</v>
      </c>
      <c r="V328" t="s">
        <v>63</v>
      </c>
    </row>
    <row r="329" spans="1:22" x14ac:dyDescent="0.25">
      <c r="A329">
        <v>41450795129</v>
      </c>
      <c r="B329" t="s">
        <v>2</v>
      </c>
      <c r="C329" t="s">
        <v>190</v>
      </c>
      <c r="D329">
        <v>41450795129</v>
      </c>
      <c r="E329" s="1">
        <v>46206.516615960645</v>
      </c>
      <c r="F329">
        <v>115</v>
      </c>
      <c r="G329">
        <v>3</v>
      </c>
      <c r="H329" t="s">
        <v>68</v>
      </c>
      <c r="I329" t="s">
        <v>5</v>
      </c>
      <c r="J329" t="s">
        <v>6</v>
      </c>
      <c r="K329">
        <v>54606</v>
      </c>
      <c r="L329">
        <v>165760</v>
      </c>
      <c r="M329">
        <v>25000</v>
      </c>
      <c r="N329" t="s">
        <v>7</v>
      </c>
      <c r="O329">
        <v>322637.40999999997</v>
      </c>
      <c r="P329" t="s">
        <v>69</v>
      </c>
      <c r="Q329" t="s">
        <v>8</v>
      </c>
      <c r="R329">
        <v>102909595</v>
      </c>
      <c r="S329">
        <v>102909595</v>
      </c>
      <c r="T329">
        <v>102909595</v>
      </c>
      <c r="U329" t="s">
        <v>70</v>
      </c>
      <c r="V329" t="s">
        <v>9</v>
      </c>
    </row>
    <row r="330" spans="1:22" x14ac:dyDescent="0.25">
      <c r="A330">
        <v>41462850655</v>
      </c>
      <c r="B330" t="s">
        <v>2</v>
      </c>
      <c r="C330" t="s">
        <v>190</v>
      </c>
      <c r="D330">
        <v>41462850655</v>
      </c>
      <c r="E330" s="1">
        <v>46213.789105752316</v>
      </c>
      <c r="F330">
        <v>115</v>
      </c>
      <c r="G330">
        <v>3</v>
      </c>
      <c r="H330" t="s">
        <v>143</v>
      </c>
      <c r="I330" t="s">
        <v>5</v>
      </c>
      <c r="J330" t="s">
        <v>6</v>
      </c>
      <c r="K330">
        <v>10235121</v>
      </c>
      <c r="L330">
        <v>403232</v>
      </c>
      <c r="M330">
        <v>80000</v>
      </c>
      <c r="N330" t="s">
        <v>7</v>
      </c>
      <c r="O330">
        <v>1032439.7</v>
      </c>
      <c r="P330" t="s">
        <v>144</v>
      </c>
      <c r="Q330" t="s">
        <v>8</v>
      </c>
      <c r="R330">
        <v>148525652</v>
      </c>
      <c r="S330">
        <v>148525652</v>
      </c>
      <c r="T330">
        <v>148525652</v>
      </c>
      <c r="U330" t="s">
        <v>145</v>
      </c>
      <c r="V330" t="s">
        <v>9</v>
      </c>
    </row>
    <row r="331" spans="1:22" x14ac:dyDescent="0.25">
      <c r="A331">
        <v>41463610727</v>
      </c>
      <c r="B331" t="s">
        <v>2</v>
      </c>
      <c r="C331" t="s">
        <v>190</v>
      </c>
      <c r="D331">
        <v>41463610727</v>
      </c>
      <c r="E331" s="1">
        <v>46214.50736797454</v>
      </c>
      <c r="F331">
        <v>115</v>
      </c>
      <c r="G331">
        <v>3</v>
      </c>
      <c r="H331" t="s">
        <v>19</v>
      </c>
      <c r="I331" t="s">
        <v>5</v>
      </c>
      <c r="J331" t="s">
        <v>6</v>
      </c>
      <c r="K331">
        <v>51396080</v>
      </c>
      <c r="L331">
        <v>404031</v>
      </c>
      <c r="M331">
        <v>95000</v>
      </c>
      <c r="N331" t="s">
        <v>7</v>
      </c>
      <c r="O331">
        <v>1226022.05</v>
      </c>
      <c r="P331" t="s">
        <v>17</v>
      </c>
      <c r="Q331" t="s">
        <v>8</v>
      </c>
      <c r="R331">
        <v>146573514</v>
      </c>
      <c r="S331">
        <v>146573514</v>
      </c>
      <c r="T331">
        <v>146573514</v>
      </c>
      <c r="U331" t="s">
        <v>18</v>
      </c>
      <c r="V331" t="s">
        <v>15</v>
      </c>
    </row>
    <row r="332" spans="1:22" x14ac:dyDescent="0.25">
      <c r="A332">
        <v>41463606609</v>
      </c>
      <c r="B332" t="s">
        <v>2</v>
      </c>
      <c r="C332" t="s">
        <v>190</v>
      </c>
      <c r="D332">
        <v>41463606609</v>
      </c>
      <c r="E332" s="1">
        <v>46214.506083831016</v>
      </c>
      <c r="F332">
        <v>115</v>
      </c>
      <c r="G332">
        <v>3</v>
      </c>
      <c r="H332" t="s">
        <v>16</v>
      </c>
      <c r="I332" t="s">
        <v>5</v>
      </c>
      <c r="J332" t="s">
        <v>6</v>
      </c>
      <c r="K332">
        <v>57317232</v>
      </c>
      <c r="L332">
        <v>555010</v>
      </c>
      <c r="M332">
        <v>100000</v>
      </c>
      <c r="N332" t="s">
        <v>7</v>
      </c>
      <c r="O332">
        <v>1290549.53</v>
      </c>
      <c r="P332" t="s">
        <v>17</v>
      </c>
      <c r="Q332" t="s">
        <v>8</v>
      </c>
      <c r="R332">
        <v>146573514</v>
      </c>
      <c r="S332">
        <v>146573514</v>
      </c>
      <c r="T332">
        <v>146573514</v>
      </c>
      <c r="U332" t="s">
        <v>18</v>
      </c>
      <c r="V332" t="s">
        <v>15</v>
      </c>
    </row>
    <row r="333" spans="1:22" x14ac:dyDescent="0.25">
      <c r="A333">
        <v>41463601364</v>
      </c>
      <c r="B333" t="s">
        <v>2</v>
      </c>
      <c r="C333" t="s">
        <v>190</v>
      </c>
      <c r="D333">
        <v>41463601364</v>
      </c>
      <c r="E333" s="1">
        <v>46214.504335254627</v>
      </c>
      <c r="F333">
        <v>115</v>
      </c>
      <c r="G333">
        <v>3</v>
      </c>
      <c r="H333" t="s">
        <v>19</v>
      </c>
      <c r="I333" t="s">
        <v>5</v>
      </c>
      <c r="J333" t="s">
        <v>6</v>
      </c>
      <c r="K333">
        <v>51396080</v>
      </c>
      <c r="L333">
        <v>404031</v>
      </c>
      <c r="M333">
        <v>100000</v>
      </c>
      <c r="N333" t="s">
        <v>7</v>
      </c>
      <c r="O333">
        <v>1290549.53</v>
      </c>
      <c r="P333" t="s">
        <v>17</v>
      </c>
      <c r="Q333" t="s">
        <v>8</v>
      </c>
      <c r="R333">
        <v>146573514</v>
      </c>
      <c r="S333">
        <v>146573514</v>
      </c>
      <c r="T333">
        <v>146573514</v>
      </c>
      <c r="U333" t="s">
        <v>18</v>
      </c>
      <c r="V333" t="s">
        <v>15</v>
      </c>
    </row>
    <row r="334" spans="1:22" x14ac:dyDescent="0.25">
      <c r="A334">
        <v>41472246859</v>
      </c>
      <c r="B334" t="s">
        <v>2</v>
      </c>
      <c r="C334" t="s">
        <v>190</v>
      </c>
      <c r="D334">
        <v>41472246859</v>
      </c>
      <c r="E334" s="1">
        <v>46219.743704224536</v>
      </c>
      <c r="F334">
        <v>69</v>
      </c>
      <c r="G334">
        <v>3</v>
      </c>
      <c r="H334" t="s">
        <v>91</v>
      </c>
      <c r="I334" t="s">
        <v>5</v>
      </c>
      <c r="J334" t="s">
        <v>6</v>
      </c>
      <c r="K334">
        <v>10030747</v>
      </c>
      <c r="L334">
        <v>161923</v>
      </c>
      <c r="M334">
        <v>250000</v>
      </c>
      <c r="N334" t="s">
        <v>7</v>
      </c>
      <c r="O334">
        <v>3226373.98</v>
      </c>
      <c r="P334" t="s">
        <v>146</v>
      </c>
      <c r="Q334" t="s">
        <v>8</v>
      </c>
      <c r="R334">
        <v>107560732</v>
      </c>
      <c r="S334">
        <v>107560732</v>
      </c>
      <c r="T334">
        <v>107560732</v>
      </c>
      <c r="U334" t="s">
        <v>93</v>
      </c>
      <c r="V334" t="s">
        <v>9</v>
      </c>
    </row>
    <row r="335" spans="1:22" x14ac:dyDescent="0.25">
      <c r="A335">
        <v>41473431379</v>
      </c>
      <c r="B335" t="s">
        <v>2</v>
      </c>
      <c r="C335" t="s">
        <v>190</v>
      </c>
      <c r="D335">
        <v>41473431379</v>
      </c>
      <c r="E335" s="1">
        <v>46220.570453796296</v>
      </c>
      <c r="F335">
        <v>115</v>
      </c>
      <c r="G335">
        <v>3</v>
      </c>
      <c r="H335" t="s">
        <v>4</v>
      </c>
      <c r="I335" t="s">
        <v>5</v>
      </c>
      <c r="J335" t="s">
        <v>6</v>
      </c>
      <c r="K335">
        <v>45057828</v>
      </c>
      <c r="L335">
        <v>609204</v>
      </c>
      <c r="M335">
        <v>25000</v>
      </c>
      <c r="N335" t="s">
        <v>7</v>
      </c>
      <c r="O335">
        <v>322637.40999999997</v>
      </c>
      <c r="P335" t="s">
        <v>184</v>
      </c>
      <c r="Q335" t="s">
        <v>8</v>
      </c>
      <c r="R335">
        <v>113366470</v>
      </c>
      <c r="S335">
        <v>113366470</v>
      </c>
      <c r="T335">
        <v>113366470</v>
      </c>
      <c r="U335" t="s">
        <v>182</v>
      </c>
      <c r="V335" t="s">
        <v>183</v>
      </c>
    </row>
    <row r="336" spans="1:22" x14ac:dyDescent="0.25">
      <c r="A336">
        <v>41473429686</v>
      </c>
      <c r="B336" t="s">
        <v>2</v>
      </c>
      <c r="C336" t="s">
        <v>190</v>
      </c>
      <c r="D336">
        <v>41473429686</v>
      </c>
      <c r="E336" s="1">
        <v>46220.569962905094</v>
      </c>
      <c r="F336">
        <v>115</v>
      </c>
      <c r="G336">
        <v>3</v>
      </c>
      <c r="H336" t="s">
        <v>4</v>
      </c>
      <c r="I336" t="s">
        <v>5</v>
      </c>
      <c r="J336" t="s">
        <v>6</v>
      </c>
      <c r="K336">
        <v>45103897</v>
      </c>
      <c r="L336">
        <v>609204</v>
      </c>
      <c r="M336">
        <v>25000</v>
      </c>
      <c r="N336" t="s">
        <v>7</v>
      </c>
      <c r="O336">
        <v>322637.40999999997</v>
      </c>
      <c r="P336" t="s">
        <v>181</v>
      </c>
      <c r="Q336" t="s">
        <v>8</v>
      </c>
      <c r="R336">
        <v>113366470</v>
      </c>
      <c r="S336">
        <v>113366470</v>
      </c>
      <c r="T336">
        <v>113366470</v>
      </c>
      <c r="U336" t="s">
        <v>182</v>
      </c>
      <c r="V336" t="s">
        <v>183</v>
      </c>
    </row>
    <row r="337" spans="1:22" x14ac:dyDescent="0.25">
      <c r="A337">
        <v>41486220957</v>
      </c>
      <c r="B337" t="s">
        <v>2</v>
      </c>
      <c r="C337" t="s">
        <v>190</v>
      </c>
      <c r="D337">
        <v>41486220957</v>
      </c>
      <c r="E337" s="1">
        <v>46227.856335497687</v>
      </c>
      <c r="F337">
        <v>115</v>
      </c>
      <c r="G337">
        <v>3</v>
      </c>
      <c r="H337" t="s">
        <v>4</v>
      </c>
      <c r="I337" t="s">
        <v>5</v>
      </c>
      <c r="J337" t="s">
        <v>6</v>
      </c>
      <c r="K337">
        <v>26180505</v>
      </c>
      <c r="L337">
        <v>608407</v>
      </c>
      <c r="M337">
        <v>100000</v>
      </c>
      <c r="N337" t="s">
        <v>7</v>
      </c>
      <c r="O337">
        <v>1298483.98</v>
      </c>
      <c r="P337" t="s">
        <v>265</v>
      </c>
      <c r="Q337" t="s">
        <v>8</v>
      </c>
      <c r="R337">
        <v>126118058</v>
      </c>
      <c r="S337">
        <v>126118058</v>
      </c>
      <c r="T337">
        <v>126118058</v>
      </c>
      <c r="U337" t="s">
        <v>264</v>
      </c>
      <c r="V337" t="s">
        <v>15</v>
      </c>
    </row>
    <row r="338" spans="1:22" x14ac:dyDescent="0.25">
      <c r="A338">
        <v>41486224304</v>
      </c>
      <c r="B338" t="s">
        <v>2</v>
      </c>
      <c r="C338" t="s">
        <v>190</v>
      </c>
      <c r="D338">
        <v>41486224304</v>
      </c>
      <c r="E338" s="1">
        <v>46227.857881863427</v>
      </c>
      <c r="F338">
        <v>115</v>
      </c>
      <c r="G338">
        <v>3</v>
      </c>
      <c r="H338" t="s">
        <v>4</v>
      </c>
      <c r="I338" t="s">
        <v>5</v>
      </c>
      <c r="J338" t="s">
        <v>6</v>
      </c>
      <c r="K338">
        <v>26180505</v>
      </c>
      <c r="L338">
        <v>608407</v>
      </c>
      <c r="M338">
        <v>100000</v>
      </c>
      <c r="N338" t="s">
        <v>7</v>
      </c>
      <c r="O338">
        <v>1298483.98</v>
      </c>
      <c r="P338" t="s">
        <v>265</v>
      </c>
      <c r="Q338" t="s">
        <v>8</v>
      </c>
      <c r="R338">
        <v>126118058</v>
      </c>
      <c r="S338">
        <v>126118058</v>
      </c>
      <c r="T338">
        <v>126118058</v>
      </c>
      <c r="U338" t="s">
        <v>264</v>
      </c>
      <c r="V338" t="s">
        <v>15</v>
      </c>
    </row>
    <row r="339" spans="1:22" x14ac:dyDescent="0.25">
      <c r="A339">
        <v>41499919515</v>
      </c>
      <c r="B339" t="s">
        <v>2</v>
      </c>
      <c r="C339" t="s">
        <v>190</v>
      </c>
      <c r="D339">
        <v>41499919515</v>
      </c>
      <c r="E339" s="1">
        <v>46235.700332476852</v>
      </c>
      <c r="F339">
        <v>115</v>
      </c>
      <c r="G339">
        <v>3</v>
      </c>
      <c r="H339" t="s">
        <v>4</v>
      </c>
      <c r="I339" t="s">
        <v>5</v>
      </c>
      <c r="J339" t="s">
        <v>6</v>
      </c>
      <c r="K339">
        <v>38307720</v>
      </c>
      <c r="L339">
        <v>90130</v>
      </c>
      <c r="M339">
        <v>40240.32</v>
      </c>
      <c r="N339" t="s">
        <v>7</v>
      </c>
      <c r="O339">
        <v>522514.15</v>
      </c>
      <c r="P339" t="s">
        <v>302</v>
      </c>
      <c r="Q339" t="s">
        <v>8</v>
      </c>
      <c r="R339">
        <v>119007375</v>
      </c>
      <c r="S339">
        <v>119007375</v>
      </c>
      <c r="T339">
        <v>119007375</v>
      </c>
      <c r="U339" t="s">
        <v>303</v>
      </c>
      <c r="V339" t="s">
        <v>15</v>
      </c>
    </row>
    <row r="340" spans="1:22" x14ac:dyDescent="0.25">
      <c r="A340">
        <v>41501265441</v>
      </c>
      <c r="B340" t="s">
        <v>2</v>
      </c>
      <c r="C340" t="s">
        <v>190</v>
      </c>
      <c r="D340">
        <v>41501265441</v>
      </c>
      <c r="E340" s="1">
        <v>46236.717546967593</v>
      </c>
      <c r="F340">
        <v>115</v>
      </c>
      <c r="G340">
        <v>3</v>
      </c>
      <c r="H340" t="s">
        <v>143</v>
      </c>
      <c r="I340" t="s">
        <v>5</v>
      </c>
      <c r="J340" t="s">
        <v>6</v>
      </c>
      <c r="K340">
        <v>25574811</v>
      </c>
      <c r="L340">
        <v>403232</v>
      </c>
      <c r="M340">
        <v>10000</v>
      </c>
      <c r="N340" t="s">
        <v>7</v>
      </c>
      <c r="O340">
        <v>129848.44</v>
      </c>
      <c r="P340" t="s">
        <v>328</v>
      </c>
      <c r="Q340" t="s">
        <v>11</v>
      </c>
      <c r="R340">
        <v>147009427</v>
      </c>
      <c r="S340">
        <v>147009427</v>
      </c>
      <c r="T340">
        <v>147009427</v>
      </c>
      <c r="U340" t="s">
        <v>329</v>
      </c>
      <c r="V340" t="s">
        <v>9</v>
      </c>
    </row>
    <row r="341" spans="1:22" x14ac:dyDescent="0.25">
      <c r="A341">
        <v>41504635203</v>
      </c>
      <c r="B341" t="s">
        <v>2</v>
      </c>
      <c r="C341" t="s">
        <v>190</v>
      </c>
      <c r="D341">
        <v>41504635203</v>
      </c>
      <c r="E341" s="1">
        <v>46238.797782303242</v>
      </c>
      <c r="F341">
        <v>115</v>
      </c>
      <c r="G341">
        <v>3</v>
      </c>
      <c r="H341" t="s">
        <v>332</v>
      </c>
      <c r="I341" t="s">
        <v>5</v>
      </c>
      <c r="J341" t="s">
        <v>6</v>
      </c>
      <c r="K341">
        <v>12470709</v>
      </c>
      <c r="L341">
        <v>608371</v>
      </c>
      <c r="M341">
        <v>18000</v>
      </c>
      <c r="N341" t="s">
        <v>7</v>
      </c>
      <c r="O341">
        <v>233727.09</v>
      </c>
      <c r="P341" t="s">
        <v>333</v>
      </c>
      <c r="Q341" t="s">
        <v>8</v>
      </c>
      <c r="R341">
        <v>128324746</v>
      </c>
      <c r="S341">
        <v>128324746</v>
      </c>
      <c r="T341">
        <v>128324746</v>
      </c>
      <c r="U341" t="s">
        <v>334</v>
      </c>
      <c r="V341" t="s">
        <v>335</v>
      </c>
    </row>
    <row r="342" spans="1:22" x14ac:dyDescent="0.25">
      <c r="A342">
        <v>41506612587</v>
      </c>
      <c r="B342" t="s">
        <v>2</v>
      </c>
      <c r="C342" t="s">
        <v>190</v>
      </c>
      <c r="D342">
        <v>41506612587</v>
      </c>
      <c r="E342" s="1">
        <v>46240.368106863425</v>
      </c>
      <c r="F342">
        <v>115</v>
      </c>
      <c r="G342">
        <v>3</v>
      </c>
      <c r="H342" t="s">
        <v>4</v>
      </c>
      <c r="I342" t="s">
        <v>5</v>
      </c>
      <c r="J342" t="s">
        <v>6</v>
      </c>
      <c r="K342">
        <v>83280502</v>
      </c>
      <c r="L342">
        <v>230120</v>
      </c>
      <c r="M342">
        <v>10000</v>
      </c>
      <c r="N342" t="s">
        <v>7</v>
      </c>
      <c r="O342">
        <v>129848.44</v>
      </c>
      <c r="P342" t="s">
        <v>79</v>
      </c>
      <c r="Q342" t="s">
        <v>11</v>
      </c>
      <c r="R342">
        <v>141378075</v>
      </c>
      <c r="S342">
        <v>141378075</v>
      </c>
      <c r="T342">
        <v>141378075</v>
      </c>
      <c r="U342" t="s">
        <v>355</v>
      </c>
      <c r="V342" t="s">
        <v>9</v>
      </c>
    </row>
    <row r="343" spans="1:22" x14ac:dyDescent="0.25">
      <c r="A343">
        <v>41509375121</v>
      </c>
      <c r="B343" t="s">
        <v>2</v>
      </c>
      <c r="C343" t="s">
        <v>190</v>
      </c>
      <c r="D343">
        <v>41509375121</v>
      </c>
      <c r="E343" s="1">
        <v>46241.82651215278</v>
      </c>
      <c r="F343">
        <v>115</v>
      </c>
      <c r="G343">
        <v>3</v>
      </c>
      <c r="H343" t="s">
        <v>4</v>
      </c>
      <c r="I343" t="s">
        <v>5</v>
      </c>
      <c r="J343" t="s">
        <v>6</v>
      </c>
      <c r="K343">
        <v>93108627</v>
      </c>
      <c r="L343">
        <v>206518</v>
      </c>
      <c r="M343">
        <v>30000</v>
      </c>
      <c r="N343" t="s">
        <v>7</v>
      </c>
      <c r="O343">
        <v>389545.21</v>
      </c>
      <c r="P343" t="s">
        <v>339</v>
      </c>
      <c r="Q343" t="s">
        <v>8</v>
      </c>
      <c r="R343">
        <v>110890316</v>
      </c>
      <c r="S343">
        <v>110890316</v>
      </c>
      <c r="T343">
        <v>110890316</v>
      </c>
      <c r="U343" t="s">
        <v>340</v>
      </c>
      <c r="V343" t="s">
        <v>9</v>
      </c>
    </row>
    <row r="344" spans="1:22" x14ac:dyDescent="0.25">
      <c r="A344">
        <v>41447499790</v>
      </c>
      <c r="B344" t="s">
        <v>2</v>
      </c>
      <c r="C344" t="s">
        <v>191</v>
      </c>
      <c r="D344">
        <v>41447499790</v>
      </c>
      <c r="E344" s="1">
        <v>46204.618747534725</v>
      </c>
      <c r="F344">
        <v>115</v>
      </c>
      <c r="G344">
        <v>3</v>
      </c>
      <c r="H344" t="s">
        <v>29</v>
      </c>
      <c r="I344" t="s">
        <v>5</v>
      </c>
      <c r="J344" t="s">
        <v>6</v>
      </c>
      <c r="K344">
        <v>23901216</v>
      </c>
      <c r="L344">
        <v>406377</v>
      </c>
      <c r="M344">
        <v>61286.07</v>
      </c>
      <c r="N344" t="s">
        <v>7</v>
      </c>
      <c r="O344">
        <v>788427.31</v>
      </c>
      <c r="P344" t="s">
        <v>30</v>
      </c>
      <c r="Q344" t="s">
        <v>8</v>
      </c>
      <c r="R344">
        <v>119309359</v>
      </c>
      <c r="S344">
        <v>119309359</v>
      </c>
      <c r="T344">
        <v>119309359</v>
      </c>
      <c r="U344" t="s">
        <v>31</v>
      </c>
      <c r="V344" t="s">
        <v>9</v>
      </c>
    </row>
    <row r="345" spans="1:22" x14ac:dyDescent="0.25">
      <c r="A345">
        <v>41447338345</v>
      </c>
      <c r="B345" t="s">
        <v>2</v>
      </c>
      <c r="C345" t="s">
        <v>191</v>
      </c>
      <c r="D345">
        <v>41447338345</v>
      </c>
      <c r="E345" s="1">
        <v>46204.567366400464</v>
      </c>
      <c r="F345">
        <v>115</v>
      </c>
      <c r="G345">
        <v>3</v>
      </c>
      <c r="H345" t="s">
        <v>4</v>
      </c>
      <c r="I345" t="s">
        <v>5</v>
      </c>
      <c r="J345" t="s">
        <v>6</v>
      </c>
      <c r="K345">
        <v>42272574</v>
      </c>
      <c r="L345">
        <v>406437</v>
      </c>
      <c r="M345">
        <v>30143.03</v>
      </c>
      <c r="N345" t="s">
        <v>7</v>
      </c>
      <c r="O345">
        <v>387781.2</v>
      </c>
      <c r="P345" t="s">
        <v>32</v>
      </c>
      <c r="Q345" t="s">
        <v>8</v>
      </c>
      <c r="R345">
        <v>119309359</v>
      </c>
      <c r="S345">
        <v>119309359</v>
      </c>
      <c r="T345">
        <v>119309359</v>
      </c>
      <c r="U345" t="s">
        <v>31</v>
      </c>
      <c r="V345" t="s">
        <v>9</v>
      </c>
    </row>
    <row r="346" spans="1:22" x14ac:dyDescent="0.25">
      <c r="A346">
        <v>41446946687</v>
      </c>
      <c r="B346" t="s">
        <v>10</v>
      </c>
      <c r="C346" t="s">
        <v>191</v>
      </c>
      <c r="D346">
        <v>41446946687</v>
      </c>
      <c r="E346" s="1">
        <v>46204.446696261577</v>
      </c>
      <c r="F346">
        <v>69</v>
      </c>
      <c r="G346">
        <v>3</v>
      </c>
      <c r="H346" t="s">
        <v>4</v>
      </c>
      <c r="I346" t="s">
        <v>5</v>
      </c>
      <c r="J346" t="s">
        <v>6</v>
      </c>
      <c r="K346">
        <v>80432571</v>
      </c>
      <c r="L346">
        <v>200771</v>
      </c>
      <c r="M346">
        <v>320000</v>
      </c>
      <c r="N346" t="s">
        <v>7</v>
      </c>
      <c r="O346">
        <v>4116705.96</v>
      </c>
      <c r="P346" t="s">
        <v>129</v>
      </c>
      <c r="Q346" t="s">
        <v>8</v>
      </c>
      <c r="R346">
        <v>88738513</v>
      </c>
      <c r="S346">
        <v>88738513</v>
      </c>
      <c r="T346">
        <v>88738513</v>
      </c>
      <c r="U346" t="s">
        <v>126</v>
      </c>
      <c r="V346" t="s">
        <v>15</v>
      </c>
    </row>
    <row r="347" spans="1:22" x14ac:dyDescent="0.25">
      <c r="A347">
        <v>41451347753</v>
      </c>
      <c r="B347" t="s">
        <v>2</v>
      </c>
      <c r="C347" t="s">
        <v>191</v>
      </c>
      <c r="D347">
        <v>41451347753</v>
      </c>
      <c r="E347" s="1">
        <v>46206.680642743057</v>
      </c>
      <c r="F347">
        <v>115</v>
      </c>
      <c r="G347">
        <v>3</v>
      </c>
      <c r="H347" t="s">
        <v>4</v>
      </c>
      <c r="I347" t="s">
        <v>5</v>
      </c>
      <c r="J347" t="s">
        <v>6</v>
      </c>
      <c r="K347">
        <v>16281625</v>
      </c>
      <c r="L347">
        <v>608407</v>
      </c>
      <c r="M347">
        <v>100000</v>
      </c>
      <c r="N347" t="s">
        <v>7</v>
      </c>
      <c r="O347">
        <v>1290549.53</v>
      </c>
      <c r="P347" t="s">
        <v>61</v>
      </c>
      <c r="Q347" t="s">
        <v>8</v>
      </c>
      <c r="R347">
        <v>128533080</v>
      </c>
      <c r="S347">
        <v>128533080</v>
      </c>
      <c r="T347">
        <v>128533080</v>
      </c>
      <c r="U347" t="s">
        <v>62</v>
      </c>
      <c r="V347" t="s">
        <v>63</v>
      </c>
    </row>
    <row r="348" spans="1:22" x14ac:dyDescent="0.25">
      <c r="A348">
        <v>41451344908</v>
      </c>
      <c r="B348" t="s">
        <v>10</v>
      </c>
      <c r="C348" t="s">
        <v>191</v>
      </c>
      <c r="D348">
        <v>41451344908</v>
      </c>
      <c r="E348" s="1">
        <v>46206.679814247684</v>
      </c>
      <c r="F348">
        <v>115</v>
      </c>
      <c r="G348">
        <v>3</v>
      </c>
      <c r="H348" t="s">
        <v>4</v>
      </c>
      <c r="I348" t="s">
        <v>5</v>
      </c>
      <c r="J348" t="s">
        <v>6</v>
      </c>
      <c r="K348">
        <v>16281625</v>
      </c>
      <c r="L348">
        <v>608407</v>
      </c>
      <c r="M348">
        <v>100000</v>
      </c>
      <c r="N348" t="s">
        <v>7</v>
      </c>
      <c r="O348">
        <v>1290549.53</v>
      </c>
      <c r="P348" t="s">
        <v>61</v>
      </c>
      <c r="Q348" t="s">
        <v>8</v>
      </c>
      <c r="R348">
        <v>128533080</v>
      </c>
      <c r="S348">
        <v>128533080</v>
      </c>
      <c r="T348">
        <v>128533080</v>
      </c>
      <c r="U348" t="s">
        <v>62</v>
      </c>
      <c r="V348" t="s">
        <v>63</v>
      </c>
    </row>
    <row r="349" spans="1:22" x14ac:dyDescent="0.25">
      <c r="A349">
        <v>41451349515</v>
      </c>
      <c r="B349" t="s">
        <v>2</v>
      </c>
      <c r="C349" t="s">
        <v>191</v>
      </c>
      <c r="D349">
        <v>41451349515</v>
      </c>
      <c r="E349" s="1">
        <v>46206.681241840277</v>
      </c>
      <c r="F349">
        <v>115</v>
      </c>
      <c r="G349">
        <v>3</v>
      </c>
      <c r="H349" t="s">
        <v>4</v>
      </c>
      <c r="I349" t="s">
        <v>5</v>
      </c>
      <c r="J349" t="s">
        <v>6</v>
      </c>
      <c r="K349">
        <v>16281625</v>
      </c>
      <c r="L349">
        <v>608407</v>
      </c>
      <c r="M349">
        <v>50000</v>
      </c>
      <c r="N349" t="s">
        <v>7</v>
      </c>
      <c r="O349">
        <v>645274.81999999995</v>
      </c>
      <c r="P349" t="s">
        <v>61</v>
      </c>
      <c r="Q349" t="s">
        <v>8</v>
      </c>
      <c r="R349">
        <v>128533080</v>
      </c>
      <c r="S349">
        <v>128533080</v>
      </c>
      <c r="T349">
        <v>128533080</v>
      </c>
      <c r="U349" t="s">
        <v>62</v>
      </c>
      <c r="V349" t="s">
        <v>63</v>
      </c>
    </row>
    <row r="350" spans="1:22" x14ac:dyDescent="0.25">
      <c r="A350">
        <v>41450795129</v>
      </c>
      <c r="B350" t="s">
        <v>2</v>
      </c>
      <c r="C350" t="s">
        <v>191</v>
      </c>
      <c r="D350">
        <v>41450795129</v>
      </c>
      <c r="E350" s="1">
        <v>46206.516615960645</v>
      </c>
      <c r="F350">
        <v>115</v>
      </c>
      <c r="G350">
        <v>3</v>
      </c>
      <c r="H350" t="s">
        <v>68</v>
      </c>
      <c r="I350" t="s">
        <v>5</v>
      </c>
      <c r="J350" t="s">
        <v>6</v>
      </c>
      <c r="K350">
        <v>54606</v>
      </c>
      <c r="L350">
        <v>165760</v>
      </c>
      <c r="M350">
        <v>25000</v>
      </c>
      <c r="N350" t="s">
        <v>7</v>
      </c>
      <c r="O350">
        <v>322637.40999999997</v>
      </c>
      <c r="P350" t="s">
        <v>69</v>
      </c>
      <c r="Q350" t="s">
        <v>8</v>
      </c>
      <c r="R350">
        <v>102909595</v>
      </c>
      <c r="S350">
        <v>102909595</v>
      </c>
      <c r="T350">
        <v>102909595</v>
      </c>
      <c r="U350" t="s">
        <v>70</v>
      </c>
      <c r="V350" t="s">
        <v>9</v>
      </c>
    </row>
    <row r="351" spans="1:22" x14ac:dyDescent="0.25">
      <c r="A351">
        <v>41450496287</v>
      </c>
      <c r="B351" t="s">
        <v>2</v>
      </c>
      <c r="C351" t="s">
        <v>191</v>
      </c>
      <c r="D351">
        <v>41450496287</v>
      </c>
      <c r="E351" s="1">
        <v>46206.415541354167</v>
      </c>
      <c r="F351">
        <v>115</v>
      </c>
      <c r="G351">
        <v>3</v>
      </c>
      <c r="H351" t="s">
        <v>68</v>
      </c>
      <c r="I351" t="s">
        <v>5</v>
      </c>
      <c r="J351" t="s">
        <v>6</v>
      </c>
      <c r="K351">
        <v>54606</v>
      </c>
      <c r="L351">
        <v>165760</v>
      </c>
      <c r="M351">
        <v>25000</v>
      </c>
      <c r="N351" t="s">
        <v>7</v>
      </c>
      <c r="O351">
        <v>322637.40999999997</v>
      </c>
      <c r="P351" t="s">
        <v>69</v>
      </c>
      <c r="Q351" t="s">
        <v>8</v>
      </c>
      <c r="R351">
        <v>102909595</v>
      </c>
      <c r="S351">
        <v>102909595</v>
      </c>
      <c r="T351">
        <v>102909595</v>
      </c>
      <c r="U351" t="s">
        <v>70</v>
      </c>
      <c r="V351" t="s">
        <v>9</v>
      </c>
    </row>
    <row r="352" spans="1:22" x14ac:dyDescent="0.25">
      <c r="A352">
        <v>41459674249</v>
      </c>
      <c r="B352" t="s">
        <v>10</v>
      </c>
      <c r="C352" t="s">
        <v>191</v>
      </c>
      <c r="D352">
        <v>41459674249</v>
      </c>
      <c r="E352" s="1">
        <v>46211.905969467596</v>
      </c>
      <c r="F352">
        <v>115</v>
      </c>
      <c r="G352">
        <v>3</v>
      </c>
      <c r="H352" t="s">
        <v>135</v>
      </c>
      <c r="I352" t="s">
        <v>5</v>
      </c>
      <c r="J352" t="s">
        <v>6</v>
      </c>
      <c r="K352">
        <v>1362320</v>
      </c>
      <c r="L352">
        <v>304067</v>
      </c>
      <c r="M352">
        <v>20000</v>
      </c>
      <c r="N352" t="s">
        <v>7</v>
      </c>
      <c r="O352">
        <v>258109.93</v>
      </c>
      <c r="P352" t="s">
        <v>139</v>
      </c>
      <c r="Q352" t="s">
        <v>8</v>
      </c>
      <c r="R352">
        <v>115716052</v>
      </c>
      <c r="S352">
        <v>115716052</v>
      </c>
      <c r="T352">
        <v>115716052</v>
      </c>
      <c r="U352" t="s">
        <v>137</v>
      </c>
      <c r="V352" t="s">
        <v>138</v>
      </c>
    </row>
    <row r="353" spans="1:22" x14ac:dyDescent="0.25">
      <c r="A353">
        <v>41458164248</v>
      </c>
      <c r="B353" t="s">
        <v>10</v>
      </c>
      <c r="C353" t="s">
        <v>191</v>
      </c>
      <c r="D353">
        <v>41458164248</v>
      </c>
      <c r="E353" s="1">
        <v>46211.052869004627</v>
      </c>
      <c r="F353">
        <v>115</v>
      </c>
      <c r="G353">
        <v>3</v>
      </c>
      <c r="H353" t="s">
        <v>140</v>
      </c>
      <c r="I353" t="s">
        <v>5</v>
      </c>
      <c r="J353" t="s">
        <v>6</v>
      </c>
      <c r="K353">
        <v>13389011</v>
      </c>
      <c r="L353">
        <v>50200</v>
      </c>
      <c r="M353">
        <v>50000</v>
      </c>
      <c r="N353" t="s">
        <v>7</v>
      </c>
      <c r="O353">
        <v>645274.81999999995</v>
      </c>
      <c r="P353" t="s">
        <v>141</v>
      </c>
      <c r="Q353" t="s">
        <v>8</v>
      </c>
      <c r="R353">
        <v>125587352</v>
      </c>
      <c r="S353">
        <v>125587352</v>
      </c>
      <c r="T353">
        <v>125587352</v>
      </c>
      <c r="U353" t="s">
        <v>142</v>
      </c>
      <c r="V353" t="s">
        <v>9</v>
      </c>
    </row>
    <row r="354" spans="1:22" x14ac:dyDescent="0.25">
      <c r="A354">
        <v>41462839274</v>
      </c>
      <c r="B354" t="s">
        <v>10</v>
      </c>
      <c r="C354" t="s">
        <v>191</v>
      </c>
      <c r="D354">
        <v>41462839274</v>
      </c>
      <c r="E354" s="1">
        <v>46213.784352766204</v>
      </c>
      <c r="F354">
        <v>115</v>
      </c>
      <c r="G354">
        <v>3</v>
      </c>
      <c r="H354" t="s">
        <v>143</v>
      </c>
      <c r="I354" t="s">
        <v>5</v>
      </c>
      <c r="J354" t="s">
        <v>6</v>
      </c>
      <c r="K354">
        <v>10235121</v>
      </c>
      <c r="L354">
        <v>403232</v>
      </c>
      <c r="M354">
        <v>100000</v>
      </c>
      <c r="N354" t="s">
        <v>7</v>
      </c>
      <c r="O354">
        <v>1290549.53</v>
      </c>
      <c r="P354" t="s">
        <v>144</v>
      </c>
      <c r="Q354" t="s">
        <v>8</v>
      </c>
      <c r="R354">
        <v>148525652</v>
      </c>
      <c r="S354">
        <v>148525652</v>
      </c>
      <c r="T354">
        <v>148525652</v>
      </c>
      <c r="U354" t="s">
        <v>145</v>
      </c>
      <c r="V354" t="s">
        <v>9</v>
      </c>
    </row>
    <row r="355" spans="1:22" x14ac:dyDescent="0.25">
      <c r="A355">
        <v>41462850655</v>
      </c>
      <c r="B355" t="s">
        <v>2</v>
      </c>
      <c r="C355" t="s">
        <v>191</v>
      </c>
      <c r="D355">
        <v>41462850655</v>
      </c>
      <c r="E355" s="1">
        <v>46213.789105752316</v>
      </c>
      <c r="F355">
        <v>115</v>
      </c>
      <c r="G355">
        <v>3</v>
      </c>
      <c r="H355" t="s">
        <v>143</v>
      </c>
      <c r="I355" t="s">
        <v>5</v>
      </c>
      <c r="J355" t="s">
        <v>6</v>
      </c>
      <c r="K355">
        <v>10235121</v>
      </c>
      <c r="L355">
        <v>403232</v>
      </c>
      <c r="M355">
        <v>80000</v>
      </c>
      <c r="N355" t="s">
        <v>7</v>
      </c>
      <c r="O355">
        <v>1032439.7</v>
      </c>
      <c r="P355" t="s">
        <v>144</v>
      </c>
      <c r="Q355" t="s">
        <v>8</v>
      </c>
      <c r="R355">
        <v>148525652</v>
      </c>
      <c r="S355">
        <v>148525652</v>
      </c>
      <c r="T355">
        <v>148525652</v>
      </c>
      <c r="U355" t="s">
        <v>145</v>
      </c>
      <c r="V355" t="s">
        <v>9</v>
      </c>
    </row>
    <row r="356" spans="1:22" x14ac:dyDescent="0.25">
      <c r="A356">
        <v>41463606609</v>
      </c>
      <c r="B356" t="s">
        <v>2</v>
      </c>
      <c r="C356" t="s">
        <v>191</v>
      </c>
      <c r="D356">
        <v>41463606609</v>
      </c>
      <c r="E356" s="1">
        <v>46214.506083831016</v>
      </c>
      <c r="F356">
        <v>115</v>
      </c>
      <c r="G356">
        <v>3</v>
      </c>
      <c r="H356" t="s">
        <v>16</v>
      </c>
      <c r="I356" t="s">
        <v>5</v>
      </c>
      <c r="J356" t="s">
        <v>6</v>
      </c>
      <c r="K356">
        <v>57317232</v>
      </c>
      <c r="L356">
        <v>555010</v>
      </c>
      <c r="M356">
        <v>100000</v>
      </c>
      <c r="N356" t="s">
        <v>7</v>
      </c>
      <c r="O356">
        <v>1290549.53</v>
      </c>
      <c r="P356" t="s">
        <v>17</v>
      </c>
      <c r="Q356" t="s">
        <v>8</v>
      </c>
      <c r="R356">
        <v>146573514</v>
      </c>
      <c r="S356">
        <v>146573514</v>
      </c>
      <c r="T356">
        <v>146573514</v>
      </c>
      <c r="U356" t="s">
        <v>18</v>
      </c>
      <c r="V356" t="s">
        <v>15</v>
      </c>
    </row>
    <row r="357" spans="1:22" x14ac:dyDescent="0.25">
      <c r="A357">
        <v>41463601364</v>
      </c>
      <c r="B357" t="s">
        <v>2</v>
      </c>
      <c r="C357" t="s">
        <v>191</v>
      </c>
      <c r="D357">
        <v>41463601364</v>
      </c>
      <c r="E357" s="1">
        <v>46214.504335254627</v>
      </c>
      <c r="F357">
        <v>115</v>
      </c>
      <c r="G357">
        <v>3</v>
      </c>
      <c r="H357" t="s">
        <v>19</v>
      </c>
      <c r="I357" t="s">
        <v>5</v>
      </c>
      <c r="J357" t="s">
        <v>6</v>
      </c>
      <c r="K357">
        <v>51396080</v>
      </c>
      <c r="L357">
        <v>404031</v>
      </c>
      <c r="M357">
        <v>100000</v>
      </c>
      <c r="N357" t="s">
        <v>7</v>
      </c>
      <c r="O357">
        <v>1290549.53</v>
      </c>
      <c r="P357" t="s">
        <v>17</v>
      </c>
      <c r="Q357" t="s">
        <v>8</v>
      </c>
      <c r="R357">
        <v>146573514</v>
      </c>
      <c r="S357">
        <v>146573514</v>
      </c>
      <c r="T357">
        <v>146573514</v>
      </c>
      <c r="U357" t="s">
        <v>18</v>
      </c>
      <c r="V357" t="s">
        <v>15</v>
      </c>
    </row>
    <row r="358" spans="1:22" x14ac:dyDescent="0.25">
      <c r="A358">
        <v>41463610727</v>
      </c>
      <c r="B358" t="s">
        <v>2</v>
      </c>
      <c r="C358" t="s">
        <v>191</v>
      </c>
      <c r="D358">
        <v>41463610727</v>
      </c>
      <c r="E358" s="1">
        <v>46214.50736797454</v>
      </c>
      <c r="F358">
        <v>115</v>
      </c>
      <c r="G358">
        <v>3</v>
      </c>
      <c r="H358" t="s">
        <v>19</v>
      </c>
      <c r="I358" t="s">
        <v>5</v>
      </c>
      <c r="J358" t="s">
        <v>6</v>
      </c>
      <c r="K358">
        <v>51396080</v>
      </c>
      <c r="L358">
        <v>404031</v>
      </c>
      <c r="M358">
        <v>95000</v>
      </c>
      <c r="N358" t="s">
        <v>7</v>
      </c>
      <c r="O358">
        <v>1226022.05</v>
      </c>
      <c r="P358" t="s">
        <v>17</v>
      </c>
      <c r="Q358" t="s">
        <v>8</v>
      </c>
      <c r="R358">
        <v>146573514</v>
      </c>
      <c r="S358">
        <v>146573514</v>
      </c>
      <c r="T358">
        <v>146573514</v>
      </c>
      <c r="U358" t="s">
        <v>18</v>
      </c>
      <c r="V358" t="s">
        <v>15</v>
      </c>
    </row>
    <row r="359" spans="1:22" x14ac:dyDescent="0.25">
      <c r="A359">
        <v>41466468310</v>
      </c>
      <c r="B359" t="s">
        <v>10</v>
      </c>
      <c r="C359" t="s">
        <v>191</v>
      </c>
      <c r="D359">
        <v>41466468310</v>
      </c>
      <c r="E359" s="1">
        <v>46216.561366215275</v>
      </c>
      <c r="F359">
        <v>115</v>
      </c>
      <c r="G359">
        <v>3</v>
      </c>
      <c r="H359" t="s">
        <v>49</v>
      </c>
      <c r="I359" t="s">
        <v>5</v>
      </c>
      <c r="J359" t="s">
        <v>6</v>
      </c>
      <c r="K359">
        <v>58219401</v>
      </c>
      <c r="L359">
        <v>230580</v>
      </c>
      <c r="M359">
        <v>41000</v>
      </c>
      <c r="N359" t="s">
        <v>7</v>
      </c>
      <c r="O359">
        <v>529125.35</v>
      </c>
      <c r="P359" t="s">
        <v>86</v>
      </c>
      <c r="Q359" t="s">
        <v>8</v>
      </c>
      <c r="R359">
        <v>135057461</v>
      </c>
      <c r="S359">
        <v>135057461</v>
      </c>
      <c r="T359">
        <v>135057461</v>
      </c>
      <c r="U359" t="s">
        <v>87</v>
      </c>
      <c r="V359" t="s">
        <v>15</v>
      </c>
    </row>
    <row r="360" spans="1:22" x14ac:dyDescent="0.25">
      <c r="A360">
        <v>41472246859</v>
      </c>
      <c r="B360" t="s">
        <v>2</v>
      </c>
      <c r="C360" t="s">
        <v>191</v>
      </c>
      <c r="D360">
        <v>41472246859</v>
      </c>
      <c r="E360" s="1">
        <v>46219.743704224536</v>
      </c>
      <c r="F360">
        <v>69</v>
      </c>
      <c r="G360">
        <v>3</v>
      </c>
      <c r="H360" t="s">
        <v>91</v>
      </c>
      <c r="I360" t="s">
        <v>5</v>
      </c>
      <c r="J360" t="s">
        <v>6</v>
      </c>
      <c r="K360">
        <v>10030747</v>
      </c>
      <c r="L360">
        <v>161923</v>
      </c>
      <c r="M360">
        <v>250000</v>
      </c>
      <c r="N360" t="s">
        <v>7</v>
      </c>
      <c r="O360">
        <v>3226373.98</v>
      </c>
      <c r="P360" t="s">
        <v>146</v>
      </c>
      <c r="Q360" t="s">
        <v>8</v>
      </c>
      <c r="R360">
        <v>107560732</v>
      </c>
      <c r="S360">
        <v>107560732</v>
      </c>
      <c r="T360">
        <v>107560732</v>
      </c>
      <c r="U360" t="s">
        <v>93</v>
      </c>
      <c r="V360" t="s">
        <v>9</v>
      </c>
    </row>
    <row r="361" spans="1:22" x14ac:dyDescent="0.25">
      <c r="A361">
        <v>41473431379</v>
      </c>
      <c r="B361" t="s">
        <v>2</v>
      </c>
      <c r="C361" t="s">
        <v>191</v>
      </c>
      <c r="D361">
        <v>41473431379</v>
      </c>
      <c r="E361" s="1">
        <v>46220.570453796296</v>
      </c>
      <c r="F361">
        <v>115</v>
      </c>
      <c r="G361">
        <v>3</v>
      </c>
      <c r="H361" t="s">
        <v>4</v>
      </c>
      <c r="I361" t="s">
        <v>5</v>
      </c>
      <c r="J361" t="s">
        <v>6</v>
      </c>
      <c r="K361">
        <v>45057828</v>
      </c>
      <c r="L361">
        <v>609204</v>
      </c>
      <c r="M361">
        <v>25000</v>
      </c>
      <c r="N361" t="s">
        <v>7</v>
      </c>
      <c r="O361">
        <v>322637.40999999997</v>
      </c>
      <c r="P361" t="s">
        <v>184</v>
      </c>
      <c r="Q361" t="s">
        <v>8</v>
      </c>
      <c r="R361">
        <v>113366470</v>
      </c>
      <c r="S361">
        <v>113366470</v>
      </c>
      <c r="T361">
        <v>113366470</v>
      </c>
      <c r="U361" t="s">
        <v>182</v>
      </c>
      <c r="V361" t="s">
        <v>183</v>
      </c>
    </row>
    <row r="362" spans="1:22" x14ac:dyDescent="0.25">
      <c r="A362">
        <v>41475226924</v>
      </c>
      <c r="B362" t="s">
        <v>10</v>
      </c>
      <c r="C362" t="s">
        <v>191</v>
      </c>
      <c r="D362">
        <v>41475226924</v>
      </c>
      <c r="E362" s="1">
        <v>46221.686187812498</v>
      </c>
      <c r="F362">
        <v>115</v>
      </c>
      <c r="G362">
        <v>3</v>
      </c>
      <c r="H362" t="s">
        <v>4</v>
      </c>
      <c r="I362" t="s">
        <v>5</v>
      </c>
      <c r="J362" t="s">
        <v>6</v>
      </c>
      <c r="K362">
        <v>24510889</v>
      </c>
      <c r="L362">
        <v>230163</v>
      </c>
      <c r="M362">
        <v>10000</v>
      </c>
      <c r="N362" t="s">
        <v>7</v>
      </c>
      <c r="O362">
        <v>129054.96</v>
      </c>
      <c r="P362" t="s">
        <v>188</v>
      </c>
      <c r="Q362" t="s">
        <v>8</v>
      </c>
      <c r="R362">
        <v>115686289</v>
      </c>
      <c r="S362">
        <v>115686289</v>
      </c>
      <c r="T362">
        <v>115686289</v>
      </c>
      <c r="U362" t="s">
        <v>189</v>
      </c>
      <c r="V362" t="s">
        <v>15</v>
      </c>
    </row>
    <row r="363" spans="1:22" x14ac:dyDescent="0.25">
      <c r="A363">
        <v>41483063386</v>
      </c>
      <c r="B363" t="s">
        <v>2</v>
      </c>
      <c r="C363" t="s">
        <v>191</v>
      </c>
      <c r="D363">
        <v>41483063386</v>
      </c>
      <c r="E363" s="1">
        <v>46226.662101180555</v>
      </c>
      <c r="F363">
        <v>115</v>
      </c>
      <c r="G363">
        <v>3</v>
      </c>
      <c r="H363" t="s">
        <v>4</v>
      </c>
      <c r="I363" t="s">
        <v>5</v>
      </c>
      <c r="J363" t="s">
        <v>6</v>
      </c>
      <c r="K363">
        <v>83372888</v>
      </c>
      <c r="L363">
        <v>608407</v>
      </c>
      <c r="M363">
        <v>80000</v>
      </c>
      <c r="N363" t="s">
        <v>7</v>
      </c>
      <c r="O363">
        <v>1038787.21</v>
      </c>
      <c r="P363" t="s">
        <v>38</v>
      </c>
      <c r="Q363" t="s">
        <v>8</v>
      </c>
      <c r="R363">
        <v>122720485</v>
      </c>
      <c r="S363">
        <v>122720485</v>
      </c>
      <c r="T363">
        <v>122720485</v>
      </c>
      <c r="U363" t="s">
        <v>39</v>
      </c>
      <c r="V363" t="s">
        <v>9</v>
      </c>
    </row>
    <row r="364" spans="1:22" x14ac:dyDescent="0.25">
      <c r="A364">
        <v>41486220957</v>
      </c>
      <c r="B364" t="s">
        <v>2</v>
      </c>
      <c r="C364" t="s">
        <v>191</v>
      </c>
      <c r="D364">
        <v>41486220957</v>
      </c>
      <c r="E364" s="1">
        <v>46227.856335497687</v>
      </c>
      <c r="F364">
        <v>115</v>
      </c>
      <c r="G364">
        <v>3</v>
      </c>
      <c r="H364" t="s">
        <v>4</v>
      </c>
      <c r="I364" t="s">
        <v>5</v>
      </c>
      <c r="J364" t="s">
        <v>6</v>
      </c>
      <c r="K364">
        <v>26180505</v>
      </c>
      <c r="L364">
        <v>608407</v>
      </c>
      <c r="M364">
        <v>100000</v>
      </c>
      <c r="N364" t="s">
        <v>7</v>
      </c>
      <c r="O364">
        <v>1298483.98</v>
      </c>
      <c r="P364" t="s">
        <v>265</v>
      </c>
      <c r="Q364" t="s">
        <v>8</v>
      </c>
      <c r="R364">
        <v>126118058</v>
      </c>
      <c r="S364">
        <v>126118058</v>
      </c>
      <c r="T364">
        <v>126118058</v>
      </c>
      <c r="U364" t="s">
        <v>264</v>
      </c>
      <c r="V364" t="s">
        <v>15</v>
      </c>
    </row>
    <row r="365" spans="1:22" x14ac:dyDescent="0.25">
      <c r="A365">
        <v>41486216916</v>
      </c>
      <c r="B365" t="s">
        <v>2</v>
      </c>
      <c r="C365" t="s">
        <v>191</v>
      </c>
      <c r="D365">
        <v>41486216916</v>
      </c>
      <c r="E365" s="1">
        <v>46227.854579432867</v>
      </c>
      <c r="F365">
        <v>115</v>
      </c>
      <c r="G365">
        <v>3</v>
      </c>
      <c r="H365" t="s">
        <v>4</v>
      </c>
      <c r="I365" t="s">
        <v>5</v>
      </c>
      <c r="J365" t="s">
        <v>6</v>
      </c>
      <c r="K365">
        <v>26180505</v>
      </c>
      <c r="L365">
        <v>608407</v>
      </c>
      <c r="M365">
        <v>100000</v>
      </c>
      <c r="N365" t="s">
        <v>7</v>
      </c>
      <c r="O365">
        <v>1298483.98</v>
      </c>
      <c r="P365" t="s">
        <v>216</v>
      </c>
      <c r="Q365" t="s">
        <v>8</v>
      </c>
      <c r="R365">
        <v>126118058</v>
      </c>
      <c r="S365">
        <v>126118058</v>
      </c>
      <c r="T365">
        <v>126118058</v>
      </c>
      <c r="U365" t="s">
        <v>264</v>
      </c>
      <c r="V365" t="s">
        <v>15</v>
      </c>
    </row>
    <row r="366" spans="1:22" x14ac:dyDescent="0.25">
      <c r="A366">
        <v>41486224304</v>
      </c>
      <c r="B366" t="s">
        <v>2</v>
      </c>
      <c r="C366" t="s">
        <v>191</v>
      </c>
      <c r="D366">
        <v>41486224304</v>
      </c>
      <c r="E366" s="1">
        <v>46227.857881863427</v>
      </c>
      <c r="F366">
        <v>115</v>
      </c>
      <c r="G366">
        <v>3</v>
      </c>
      <c r="H366" t="s">
        <v>4</v>
      </c>
      <c r="I366" t="s">
        <v>5</v>
      </c>
      <c r="J366" t="s">
        <v>6</v>
      </c>
      <c r="K366">
        <v>26180505</v>
      </c>
      <c r="L366">
        <v>608407</v>
      </c>
      <c r="M366">
        <v>100000</v>
      </c>
      <c r="N366" t="s">
        <v>7</v>
      </c>
      <c r="O366">
        <v>1298483.98</v>
      </c>
      <c r="P366" t="s">
        <v>265</v>
      </c>
      <c r="Q366" t="s">
        <v>8</v>
      </c>
      <c r="R366">
        <v>126118058</v>
      </c>
      <c r="S366">
        <v>126118058</v>
      </c>
      <c r="T366">
        <v>126118058</v>
      </c>
      <c r="U366" t="s">
        <v>264</v>
      </c>
      <c r="V366" t="s">
        <v>15</v>
      </c>
    </row>
    <row r="367" spans="1:22" x14ac:dyDescent="0.25">
      <c r="A367">
        <v>41492391683</v>
      </c>
      <c r="B367" t="s">
        <v>10</v>
      </c>
      <c r="C367" t="s">
        <v>191</v>
      </c>
      <c r="D367">
        <v>41492391683</v>
      </c>
      <c r="E367" s="1">
        <v>46231.455869675927</v>
      </c>
      <c r="F367">
        <v>115</v>
      </c>
      <c r="G367">
        <v>3</v>
      </c>
      <c r="H367" t="s">
        <v>4</v>
      </c>
      <c r="I367" t="s">
        <v>5</v>
      </c>
      <c r="J367" t="s">
        <v>6</v>
      </c>
      <c r="K367">
        <v>43255473</v>
      </c>
      <c r="L367">
        <v>608407</v>
      </c>
      <c r="M367">
        <v>25000</v>
      </c>
      <c r="N367" t="s">
        <v>7</v>
      </c>
      <c r="O367">
        <v>324621</v>
      </c>
      <c r="P367" t="s">
        <v>323</v>
      </c>
      <c r="Q367" t="s">
        <v>8</v>
      </c>
      <c r="R367">
        <v>115377780</v>
      </c>
      <c r="S367">
        <v>115377780</v>
      </c>
      <c r="T367">
        <v>115377780</v>
      </c>
      <c r="U367" t="s">
        <v>324</v>
      </c>
      <c r="V367" t="s">
        <v>15</v>
      </c>
    </row>
    <row r="368" spans="1:22" x14ac:dyDescent="0.25">
      <c r="A368">
        <v>41497065241</v>
      </c>
      <c r="B368" t="s">
        <v>10</v>
      </c>
      <c r="C368" t="s">
        <v>191</v>
      </c>
      <c r="D368">
        <v>41497065241</v>
      </c>
      <c r="E368" s="1">
        <v>46233.851045023148</v>
      </c>
      <c r="F368">
        <v>115</v>
      </c>
      <c r="G368">
        <v>3</v>
      </c>
      <c r="H368" t="s">
        <v>4</v>
      </c>
      <c r="I368" t="s">
        <v>5</v>
      </c>
      <c r="J368" t="s">
        <v>6</v>
      </c>
      <c r="K368">
        <v>73002616</v>
      </c>
      <c r="L368">
        <v>206155</v>
      </c>
      <c r="M368">
        <v>14644.06</v>
      </c>
      <c r="N368" t="s">
        <v>7</v>
      </c>
      <c r="O368">
        <v>190150.8</v>
      </c>
      <c r="P368" t="s">
        <v>266</v>
      </c>
      <c r="Q368" t="s">
        <v>8</v>
      </c>
      <c r="R368">
        <v>147888564</v>
      </c>
      <c r="S368">
        <v>125780189</v>
      </c>
      <c r="T368">
        <v>147888564</v>
      </c>
      <c r="U368" t="s">
        <v>267</v>
      </c>
      <c r="V368" t="s">
        <v>15</v>
      </c>
    </row>
    <row r="369" spans="1:22" x14ac:dyDescent="0.25">
      <c r="A369">
        <v>41499878714</v>
      </c>
      <c r="B369" t="s">
        <v>10</v>
      </c>
      <c r="C369" t="s">
        <v>191</v>
      </c>
      <c r="D369">
        <v>41499878714</v>
      </c>
      <c r="E369" s="1">
        <v>46235.681359004629</v>
      </c>
      <c r="F369">
        <v>115</v>
      </c>
      <c r="G369">
        <v>3</v>
      </c>
      <c r="H369" t="s">
        <v>4</v>
      </c>
      <c r="I369" t="s">
        <v>5</v>
      </c>
      <c r="J369" t="s">
        <v>6</v>
      </c>
      <c r="K369">
        <v>10475655</v>
      </c>
      <c r="L369">
        <v>40831</v>
      </c>
      <c r="M369">
        <v>50000</v>
      </c>
      <c r="N369" t="s">
        <v>7</v>
      </c>
      <c r="O369">
        <v>649241.99</v>
      </c>
      <c r="P369" t="s">
        <v>300</v>
      </c>
      <c r="Q369" t="s">
        <v>8</v>
      </c>
      <c r="R369">
        <v>105779995</v>
      </c>
      <c r="S369">
        <v>105779995</v>
      </c>
      <c r="T369">
        <v>105779995</v>
      </c>
      <c r="U369" t="s">
        <v>301</v>
      </c>
      <c r="V369" t="s">
        <v>9</v>
      </c>
    </row>
    <row r="370" spans="1:22" x14ac:dyDescent="0.25">
      <c r="A370">
        <v>41499919515</v>
      </c>
      <c r="B370" t="s">
        <v>2</v>
      </c>
      <c r="C370" t="s">
        <v>191</v>
      </c>
      <c r="D370">
        <v>41499919515</v>
      </c>
      <c r="E370" s="1">
        <v>46235.700332476852</v>
      </c>
      <c r="F370">
        <v>115</v>
      </c>
      <c r="G370">
        <v>3</v>
      </c>
      <c r="H370" t="s">
        <v>4</v>
      </c>
      <c r="I370" t="s">
        <v>5</v>
      </c>
      <c r="J370" t="s">
        <v>6</v>
      </c>
      <c r="K370">
        <v>38307720</v>
      </c>
      <c r="L370">
        <v>90130</v>
      </c>
      <c r="M370">
        <v>40240.32</v>
      </c>
      <c r="N370" t="s">
        <v>7</v>
      </c>
      <c r="O370">
        <v>522514.15</v>
      </c>
      <c r="P370" t="s">
        <v>302</v>
      </c>
      <c r="Q370" t="s">
        <v>8</v>
      </c>
      <c r="R370">
        <v>119007375</v>
      </c>
      <c r="S370">
        <v>119007375</v>
      </c>
      <c r="T370">
        <v>119007375</v>
      </c>
      <c r="U370" t="s">
        <v>303</v>
      </c>
      <c r="V370" t="s">
        <v>15</v>
      </c>
    </row>
    <row r="371" spans="1:22" x14ac:dyDescent="0.25">
      <c r="A371">
        <v>41501265441</v>
      </c>
      <c r="B371" t="s">
        <v>2</v>
      </c>
      <c r="C371" t="s">
        <v>191</v>
      </c>
      <c r="D371">
        <v>41501265441</v>
      </c>
      <c r="E371" s="1">
        <v>46236.717546967593</v>
      </c>
      <c r="F371">
        <v>115</v>
      </c>
      <c r="G371">
        <v>3</v>
      </c>
      <c r="H371" t="s">
        <v>143</v>
      </c>
      <c r="I371" t="s">
        <v>5</v>
      </c>
      <c r="J371" t="s">
        <v>6</v>
      </c>
      <c r="K371">
        <v>25574811</v>
      </c>
      <c r="L371">
        <v>403232</v>
      </c>
      <c r="M371">
        <v>10000</v>
      </c>
      <c r="N371" t="s">
        <v>7</v>
      </c>
      <c r="O371">
        <v>129848.44</v>
      </c>
      <c r="P371" t="s">
        <v>328</v>
      </c>
      <c r="Q371" t="s">
        <v>11</v>
      </c>
      <c r="R371">
        <v>147009427</v>
      </c>
      <c r="S371">
        <v>147009427</v>
      </c>
      <c r="T371">
        <v>147009427</v>
      </c>
      <c r="U371" t="s">
        <v>329</v>
      </c>
      <c r="V371" t="s">
        <v>9</v>
      </c>
    </row>
    <row r="372" spans="1:22" x14ac:dyDescent="0.25">
      <c r="A372">
        <v>41502622988</v>
      </c>
      <c r="B372" t="s">
        <v>10</v>
      </c>
      <c r="C372" t="s">
        <v>191</v>
      </c>
      <c r="D372">
        <v>41502622988</v>
      </c>
      <c r="E372" s="1">
        <v>46237.631411585651</v>
      </c>
      <c r="F372">
        <v>69</v>
      </c>
      <c r="G372">
        <v>3</v>
      </c>
      <c r="H372" t="s">
        <v>143</v>
      </c>
      <c r="I372" t="s">
        <v>5</v>
      </c>
      <c r="J372" t="s">
        <v>6</v>
      </c>
      <c r="K372">
        <v>9017860</v>
      </c>
      <c r="L372">
        <v>403232</v>
      </c>
      <c r="M372">
        <v>500000</v>
      </c>
      <c r="N372" t="s">
        <v>7</v>
      </c>
      <c r="O372">
        <v>6492420.0099999998</v>
      </c>
      <c r="P372" t="s">
        <v>279</v>
      </c>
      <c r="Q372" t="s">
        <v>8</v>
      </c>
      <c r="R372">
        <v>108407818</v>
      </c>
      <c r="S372">
        <v>108407818</v>
      </c>
      <c r="T372">
        <v>108407818</v>
      </c>
      <c r="U372" t="s">
        <v>280</v>
      </c>
      <c r="V372" t="s">
        <v>9</v>
      </c>
    </row>
    <row r="373" spans="1:22" x14ac:dyDescent="0.25">
      <c r="A373">
        <v>41502365582</v>
      </c>
      <c r="B373" t="s">
        <v>10</v>
      </c>
      <c r="C373" t="s">
        <v>191</v>
      </c>
      <c r="D373">
        <v>41502365582</v>
      </c>
      <c r="E373" s="1">
        <v>46237.546154699077</v>
      </c>
      <c r="F373">
        <v>115</v>
      </c>
      <c r="G373">
        <v>3</v>
      </c>
      <c r="H373" t="s">
        <v>4</v>
      </c>
      <c r="I373" t="s">
        <v>5</v>
      </c>
      <c r="J373" t="s">
        <v>6</v>
      </c>
      <c r="K373">
        <v>3649830</v>
      </c>
      <c r="L373">
        <v>203775</v>
      </c>
      <c r="M373">
        <v>100000</v>
      </c>
      <c r="N373" t="s">
        <v>7</v>
      </c>
      <c r="O373">
        <v>1298483.98</v>
      </c>
      <c r="P373" t="s">
        <v>330</v>
      </c>
      <c r="Q373" t="s">
        <v>8</v>
      </c>
      <c r="R373">
        <v>124780263</v>
      </c>
      <c r="S373">
        <v>124780263</v>
      </c>
      <c r="T373">
        <v>124780263</v>
      </c>
      <c r="U373" t="s">
        <v>331</v>
      </c>
      <c r="V373" t="s">
        <v>15</v>
      </c>
    </row>
    <row r="374" spans="1:22" x14ac:dyDescent="0.25">
      <c r="A374">
        <v>41504635203</v>
      </c>
      <c r="B374" t="s">
        <v>2</v>
      </c>
      <c r="C374" t="s">
        <v>191</v>
      </c>
      <c r="D374">
        <v>41504635203</v>
      </c>
      <c r="E374" s="1">
        <v>46238.797782303242</v>
      </c>
      <c r="F374">
        <v>115</v>
      </c>
      <c r="G374">
        <v>3</v>
      </c>
      <c r="H374" t="s">
        <v>332</v>
      </c>
      <c r="I374" t="s">
        <v>5</v>
      </c>
      <c r="J374" t="s">
        <v>6</v>
      </c>
      <c r="K374">
        <v>12470709</v>
      </c>
      <c r="L374">
        <v>608371</v>
      </c>
      <c r="M374">
        <v>18000</v>
      </c>
      <c r="N374" t="s">
        <v>7</v>
      </c>
      <c r="O374">
        <v>233727.09</v>
      </c>
      <c r="P374" t="s">
        <v>333</v>
      </c>
      <c r="Q374" t="s">
        <v>8</v>
      </c>
      <c r="R374">
        <v>128324746</v>
      </c>
      <c r="S374">
        <v>128324746</v>
      </c>
      <c r="T374">
        <v>128324746</v>
      </c>
      <c r="U374" t="s">
        <v>334</v>
      </c>
      <c r="V374" t="s">
        <v>335</v>
      </c>
    </row>
    <row r="375" spans="1:22" x14ac:dyDescent="0.25">
      <c r="A375">
        <v>41506176989</v>
      </c>
      <c r="B375" t="s">
        <v>10</v>
      </c>
      <c r="C375" t="s">
        <v>191</v>
      </c>
      <c r="D375">
        <v>41506176989</v>
      </c>
      <c r="E375" s="1">
        <v>46239.802213900461</v>
      </c>
      <c r="F375">
        <v>115</v>
      </c>
      <c r="G375">
        <v>3</v>
      </c>
      <c r="H375" t="s">
        <v>311</v>
      </c>
      <c r="I375" t="s">
        <v>5</v>
      </c>
      <c r="J375" t="s">
        <v>6</v>
      </c>
      <c r="K375">
        <v>80166232</v>
      </c>
      <c r="L375">
        <v>159900</v>
      </c>
      <c r="M375">
        <v>100000</v>
      </c>
      <c r="N375" t="s">
        <v>7</v>
      </c>
      <c r="O375">
        <v>1298483.98</v>
      </c>
      <c r="P375" t="s">
        <v>45</v>
      </c>
      <c r="Q375" t="s">
        <v>8</v>
      </c>
      <c r="R375">
        <v>107953069</v>
      </c>
      <c r="S375">
        <v>107953069</v>
      </c>
      <c r="T375">
        <v>107953069</v>
      </c>
      <c r="U375" t="s">
        <v>312</v>
      </c>
      <c r="V375" t="s">
        <v>15</v>
      </c>
    </row>
    <row r="376" spans="1:22" x14ac:dyDescent="0.25">
      <c r="A376">
        <v>41507542452</v>
      </c>
      <c r="B376" t="s">
        <v>2</v>
      </c>
      <c r="C376" t="s">
        <v>191</v>
      </c>
      <c r="D376">
        <v>41507542452</v>
      </c>
      <c r="E376" s="1">
        <v>46240.723994270833</v>
      </c>
      <c r="F376">
        <v>115</v>
      </c>
      <c r="G376">
        <v>3</v>
      </c>
      <c r="H376" t="s">
        <v>4</v>
      </c>
      <c r="I376" t="s">
        <v>5</v>
      </c>
      <c r="J376" t="s">
        <v>6</v>
      </c>
      <c r="K376">
        <v>83770192</v>
      </c>
      <c r="L376">
        <v>203964</v>
      </c>
      <c r="M376">
        <v>99000</v>
      </c>
      <c r="N376" t="s">
        <v>7</v>
      </c>
      <c r="O376">
        <v>1285499.1399999999</v>
      </c>
      <c r="P376" t="s">
        <v>275</v>
      </c>
      <c r="Q376" t="s">
        <v>8</v>
      </c>
      <c r="R376">
        <v>111831293</v>
      </c>
      <c r="S376">
        <v>111831293</v>
      </c>
      <c r="T376">
        <v>111831293</v>
      </c>
      <c r="U376" t="s">
        <v>276</v>
      </c>
      <c r="V376" t="s">
        <v>9</v>
      </c>
    </row>
    <row r="377" spans="1:22" x14ac:dyDescent="0.25">
      <c r="A377">
        <v>41506612587</v>
      </c>
      <c r="B377" t="s">
        <v>2</v>
      </c>
      <c r="C377" t="s">
        <v>191</v>
      </c>
      <c r="D377">
        <v>41506612587</v>
      </c>
      <c r="E377" s="1">
        <v>46240.368106863425</v>
      </c>
      <c r="F377">
        <v>115</v>
      </c>
      <c r="G377">
        <v>3</v>
      </c>
      <c r="H377" t="s">
        <v>4</v>
      </c>
      <c r="I377" t="s">
        <v>5</v>
      </c>
      <c r="J377" t="s">
        <v>6</v>
      </c>
      <c r="K377">
        <v>83280502</v>
      </c>
      <c r="L377">
        <v>230120</v>
      </c>
      <c r="M377">
        <v>10000</v>
      </c>
      <c r="N377" t="s">
        <v>7</v>
      </c>
      <c r="O377">
        <v>129848.44</v>
      </c>
      <c r="P377" t="s">
        <v>79</v>
      </c>
      <c r="Q377" t="s">
        <v>11</v>
      </c>
      <c r="R377">
        <v>141378075</v>
      </c>
      <c r="S377">
        <v>141378075</v>
      </c>
      <c r="T377">
        <v>141378075</v>
      </c>
      <c r="U377" t="s">
        <v>355</v>
      </c>
      <c r="V377" t="s">
        <v>9</v>
      </c>
    </row>
    <row r="378" spans="1:22" x14ac:dyDescent="0.25">
      <c r="A378">
        <v>41509375121</v>
      </c>
      <c r="B378" t="s">
        <v>2</v>
      </c>
      <c r="C378" t="s">
        <v>191</v>
      </c>
      <c r="D378">
        <v>41509375121</v>
      </c>
      <c r="E378" s="1">
        <v>46241.82651215278</v>
      </c>
      <c r="F378">
        <v>115</v>
      </c>
      <c r="G378">
        <v>3</v>
      </c>
      <c r="H378" t="s">
        <v>4</v>
      </c>
      <c r="I378" t="s">
        <v>5</v>
      </c>
      <c r="J378" t="s">
        <v>6</v>
      </c>
      <c r="K378">
        <v>93108627</v>
      </c>
      <c r="L378">
        <v>206518</v>
      </c>
      <c r="M378">
        <v>30000</v>
      </c>
      <c r="N378" t="s">
        <v>7</v>
      </c>
      <c r="O378">
        <v>389545.21</v>
      </c>
      <c r="P378" t="s">
        <v>339</v>
      </c>
      <c r="Q378" t="s">
        <v>8</v>
      </c>
      <c r="R378">
        <v>110890316</v>
      </c>
      <c r="S378">
        <v>110890316</v>
      </c>
      <c r="T378">
        <v>110890316</v>
      </c>
      <c r="U378" t="s">
        <v>340</v>
      </c>
      <c r="V378" t="s">
        <v>9</v>
      </c>
    </row>
    <row r="379" spans="1:22" x14ac:dyDescent="0.25">
      <c r="A379">
        <v>41508569084</v>
      </c>
      <c r="B379" t="s">
        <v>10</v>
      </c>
      <c r="C379" t="s">
        <v>191</v>
      </c>
      <c r="D379">
        <v>41508569084</v>
      </c>
      <c r="E379" s="1">
        <v>46241.525195162038</v>
      </c>
      <c r="F379">
        <v>115</v>
      </c>
      <c r="G379">
        <v>3</v>
      </c>
      <c r="H379" t="s">
        <v>4</v>
      </c>
      <c r="I379" t="s">
        <v>5</v>
      </c>
      <c r="J379" t="s">
        <v>6</v>
      </c>
      <c r="K379">
        <v>90673684</v>
      </c>
      <c r="L379">
        <v>204451</v>
      </c>
      <c r="M379">
        <v>49999</v>
      </c>
      <c r="N379" t="s">
        <v>7</v>
      </c>
      <c r="O379">
        <v>649229.06000000006</v>
      </c>
      <c r="P379" t="s">
        <v>277</v>
      </c>
      <c r="Q379" t="s">
        <v>8</v>
      </c>
      <c r="R379">
        <v>145002978</v>
      </c>
      <c r="S379">
        <v>145002978</v>
      </c>
      <c r="T379">
        <v>145002978</v>
      </c>
      <c r="U379" t="s">
        <v>278</v>
      </c>
      <c r="V379" t="s">
        <v>9</v>
      </c>
    </row>
    <row r="380" spans="1:22" x14ac:dyDescent="0.25">
      <c r="A380">
        <v>41447927653</v>
      </c>
      <c r="B380" t="s">
        <v>10</v>
      </c>
      <c r="C380" t="s">
        <v>192</v>
      </c>
      <c r="D380">
        <v>41447927653</v>
      </c>
      <c r="E380" s="1">
        <v>46204.759448182871</v>
      </c>
      <c r="F380">
        <v>115</v>
      </c>
      <c r="G380">
        <v>3</v>
      </c>
      <c r="H380" t="s">
        <v>4</v>
      </c>
      <c r="I380" t="s">
        <v>5</v>
      </c>
      <c r="J380" t="s">
        <v>6</v>
      </c>
      <c r="K380">
        <v>56183501</v>
      </c>
      <c r="L380">
        <v>600155</v>
      </c>
      <c r="M380">
        <v>100000</v>
      </c>
      <c r="N380" t="s">
        <v>7</v>
      </c>
      <c r="O380">
        <v>1286470.56</v>
      </c>
      <c r="P380" t="s">
        <v>50</v>
      </c>
      <c r="Q380" t="s">
        <v>8</v>
      </c>
      <c r="R380">
        <v>113570774</v>
      </c>
      <c r="S380">
        <v>113570774</v>
      </c>
      <c r="T380">
        <v>113570774</v>
      </c>
      <c r="U380" t="s">
        <v>51</v>
      </c>
      <c r="V380" t="s">
        <v>52</v>
      </c>
    </row>
    <row r="381" spans="1:22" x14ac:dyDescent="0.25">
      <c r="A381">
        <v>41447679199</v>
      </c>
      <c r="B381" t="s">
        <v>10</v>
      </c>
      <c r="C381" t="s">
        <v>192</v>
      </c>
      <c r="D381">
        <v>41447679199</v>
      </c>
      <c r="E381" s="1">
        <v>46204.67572190972</v>
      </c>
      <c r="F381">
        <v>115</v>
      </c>
      <c r="G381">
        <v>3</v>
      </c>
      <c r="H381" t="s">
        <v>4</v>
      </c>
      <c r="I381" t="s">
        <v>5</v>
      </c>
      <c r="J381" t="s">
        <v>6</v>
      </c>
      <c r="K381">
        <v>9204083</v>
      </c>
      <c r="L381">
        <v>40075</v>
      </c>
      <c r="M381">
        <v>50000</v>
      </c>
      <c r="N381" t="s">
        <v>7</v>
      </c>
      <c r="O381">
        <v>643235.32999999996</v>
      </c>
      <c r="P381" t="s">
        <v>53</v>
      </c>
      <c r="Q381" t="s">
        <v>8</v>
      </c>
      <c r="R381">
        <v>142592674</v>
      </c>
      <c r="S381">
        <v>142592674</v>
      </c>
      <c r="T381">
        <v>142592674</v>
      </c>
      <c r="U381" t="s">
        <v>54</v>
      </c>
      <c r="V381" t="s">
        <v>15</v>
      </c>
    </row>
    <row r="382" spans="1:22" x14ac:dyDescent="0.25">
      <c r="A382">
        <v>41447499790</v>
      </c>
      <c r="B382" t="s">
        <v>2</v>
      </c>
      <c r="C382" t="s">
        <v>192</v>
      </c>
      <c r="D382">
        <v>41447499790</v>
      </c>
      <c r="E382" s="1">
        <v>46204.618747534725</v>
      </c>
      <c r="F382">
        <v>115</v>
      </c>
      <c r="G382">
        <v>3</v>
      </c>
      <c r="H382" t="s">
        <v>29</v>
      </c>
      <c r="I382" t="s">
        <v>5</v>
      </c>
      <c r="J382" t="s">
        <v>6</v>
      </c>
      <c r="K382">
        <v>23901216</v>
      </c>
      <c r="L382">
        <v>406377</v>
      </c>
      <c r="M382">
        <v>61286.07</v>
      </c>
      <c r="N382" t="s">
        <v>7</v>
      </c>
      <c r="O382">
        <v>788427.31</v>
      </c>
      <c r="P382" t="s">
        <v>30</v>
      </c>
      <c r="Q382" t="s">
        <v>8</v>
      </c>
      <c r="R382">
        <v>119309359</v>
      </c>
      <c r="S382">
        <v>119309359</v>
      </c>
      <c r="T382">
        <v>119309359</v>
      </c>
      <c r="U382" t="s">
        <v>31</v>
      </c>
      <c r="V382" t="s">
        <v>9</v>
      </c>
    </row>
    <row r="383" spans="1:22" x14ac:dyDescent="0.25">
      <c r="A383">
        <v>41447332030</v>
      </c>
      <c r="B383" t="s">
        <v>10</v>
      </c>
      <c r="C383" t="s">
        <v>192</v>
      </c>
      <c r="D383">
        <v>41447332030</v>
      </c>
      <c r="E383" s="1">
        <v>46204.565191712965</v>
      </c>
      <c r="F383">
        <v>115</v>
      </c>
      <c r="G383">
        <v>3</v>
      </c>
      <c r="H383" t="s">
        <v>4</v>
      </c>
      <c r="I383" t="s">
        <v>5</v>
      </c>
      <c r="J383" t="s">
        <v>6</v>
      </c>
      <c r="K383">
        <v>9204083</v>
      </c>
      <c r="L383">
        <v>40075</v>
      </c>
      <c r="M383">
        <v>50000</v>
      </c>
      <c r="N383" t="s">
        <v>7</v>
      </c>
      <c r="O383">
        <v>643235.32999999996</v>
      </c>
      <c r="P383" t="s">
        <v>53</v>
      </c>
      <c r="Q383" t="s">
        <v>8</v>
      </c>
      <c r="R383">
        <v>142592674</v>
      </c>
      <c r="S383">
        <v>142592674</v>
      </c>
      <c r="T383">
        <v>142592674</v>
      </c>
      <c r="U383" t="s">
        <v>54</v>
      </c>
      <c r="V383" t="s">
        <v>15</v>
      </c>
    </row>
    <row r="384" spans="1:22" x14ac:dyDescent="0.25">
      <c r="A384">
        <v>41446618157</v>
      </c>
      <c r="B384" t="s">
        <v>10</v>
      </c>
      <c r="C384" t="s">
        <v>192</v>
      </c>
      <c r="D384">
        <v>41446618157</v>
      </c>
      <c r="E384" s="1">
        <v>46204.277276319444</v>
      </c>
      <c r="F384">
        <v>115</v>
      </c>
      <c r="G384">
        <v>3</v>
      </c>
      <c r="H384" t="s">
        <v>4</v>
      </c>
      <c r="I384" t="s">
        <v>5</v>
      </c>
      <c r="J384" t="s">
        <v>6</v>
      </c>
      <c r="K384">
        <v>10779032</v>
      </c>
      <c r="L384">
        <v>201854</v>
      </c>
      <c r="M384">
        <v>50000</v>
      </c>
      <c r="N384" t="s">
        <v>7</v>
      </c>
      <c r="O384">
        <v>643235.32999999996</v>
      </c>
      <c r="P384" t="s">
        <v>55</v>
      </c>
      <c r="Q384" t="s">
        <v>8</v>
      </c>
      <c r="R384">
        <v>142592674</v>
      </c>
      <c r="S384">
        <v>142592674</v>
      </c>
      <c r="T384">
        <v>142592674</v>
      </c>
      <c r="U384" t="s">
        <v>54</v>
      </c>
      <c r="V384" t="s">
        <v>15</v>
      </c>
    </row>
    <row r="385" spans="1:22" x14ac:dyDescent="0.25">
      <c r="A385">
        <v>41449578507</v>
      </c>
      <c r="B385" t="s">
        <v>10</v>
      </c>
      <c r="C385" t="s">
        <v>192</v>
      </c>
      <c r="D385">
        <v>41449578507</v>
      </c>
      <c r="E385" s="1">
        <v>46205.701892407407</v>
      </c>
      <c r="F385">
        <v>115</v>
      </c>
      <c r="G385">
        <v>3</v>
      </c>
      <c r="H385" t="s">
        <v>4</v>
      </c>
      <c r="I385" t="s">
        <v>5</v>
      </c>
      <c r="J385" t="s">
        <v>6</v>
      </c>
      <c r="K385">
        <v>61658919</v>
      </c>
      <c r="L385">
        <v>406437</v>
      </c>
      <c r="M385">
        <v>90000</v>
      </c>
      <c r="N385" t="s">
        <v>7</v>
      </c>
      <c r="O385">
        <v>1161494.57</v>
      </c>
      <c r="P385" t="s">
        <v>58</v>
      </c>
      <c r="Q385" t="s">
        <v>8</v>
      </c>
      <c r="R385">
        <v>86816444</v>
      </c>
      <c r="S385">
        <v>86816444</v>
      </c>
      <c r="T385">
        <v>86816444</v>
      </c>
      <c r="U385" t="s">
        <v>59</v>
      </c>
      <c r="V385" t="s">
        <v>9</v>
      </c>
    </row>
    <row r="386" spans="1:22" x14ac:dyDescent="0.25">
      <c r="A386">
        <v>41448593472</v>
      </c>
      <c r="B386" t="s">
        <v>2</v>
      </c>
      <c r="C386" t="s">
        <v>192</v>
      </c>
      <c r="D386">
        <v>41448593472</v>
      </c>
      <c r="E386" s="1">
        <v>46205.373878738428</v>
      </c>
      <c r="F386">
        <v>115</v>
      </c>
      <c r="G386">
        <v>3</v>
      </c>
      <c r="H386" t="s">
        <v>4</v>
      </c>
      <c r="I386" t="s">
        <v>5</v>
      </c>
      <c r="J386" t="s">
        <v>6</v>
      </c>
      <c r="K386">
        <v>9204083</v>
      </c>
      <c r="L386">
        <v>40075</v>
      </c>
      <c r="M386">
        <v>50000</v>
      </c>
      <c r="N386" t="s">
        <v>7</v>
      </c>
      <c r="O386">
        <v>645274.81999999995</v>
      </c>
      <c r="P386" t="s">
        <v>53</v>
      </c>
      <c r="Q386" t="s">
        <v>8</v>
      </c>
      <c r="R386">
        <v>142592674</v>
      </c>
      <c r="S386">
        <v>142592674</v>
      </c>
      <c r="T386">
        <v>142592674</v>
      </c>
      <c r="U386" t="s">
        <v>54</v>
      </c>
      <c r="V386" t="s">
        <v>15</v>
      </c>
    </row>
    <row r="387" spans="1:22" x14ac:dyDescent="0.25">
      <c r="A387">
        <v>41451779027</v>
      </c>
      <c r="B387" t="s">
        <v>10</v>
      </c>
      <c r="C387" t="s">
        <v>192</v>
      </c>
      <c r="D387">
        <v>41451779027</v>
      </c>
      <c r="E387" s="1">
        <v>46206.854324143518</v>
      </c>
      <c r="F387">
        <v>115</v>
      </c>
      <c r="G387">
        <v>3</v>
      </c>
      <c r="H387" t="s">
        <v>4</v>
      </c>
      <c r="I387" t="s">
        <v>5</v>
      </c>
      <c r="J387" t="s">
        <v>6</v>
      </c>
      <c r="K387">
        <v>20881107</v>
      </c>
      <c r="L387">
        <v>236247</v>
      </c>
      <c r="M387">
        <v>100000</v>
      </c>
      <c r="N387" t="s">
        <v>7</v>
      </c>
      <c r="O387">
        <v>1290549.53</v>
      </c>
      <c r="P387" t="s">
        <v>36</v>
      </c>
      <c r="Q387" t="s">
        <v>8</v>
      </c>
      <c r="R387">
        <v>127621456</v>
      </c>
      <c r="S387">
        <v>127621456</v>
      </c>
      <c r="T387">
        <v>127621456</v>
      </c>
      <c r="U387" t="s">
        <v>60</v>
      </c>
      <c r="V387" t="s">
        <v>9</v>
      </c>
    </row>
    <row r="388" spans="1:22" x14ac:dyDescent="0.25">
      <c r="A388">
        <v>41451344908</v>
      </c>
      <c r="B388" t="s">
        <v>10</v>
      </c>
      <c r="C388" t="s">
        <v>192</v>
      </c>
      <c r="D388">
        <v>41451344908</v>
      </c>
      <c r="E388" s="1">
        <v>46206.679814247684</v>
      </c>
      <c r="F388">
        <v>115</v>
      </c>
      <c r="G388">
        <v>3</v>
      </c>
      <c r="H388" t="s">
        <v>4</v>
      </c>
      <c r="I388" t="s">
        <v>5</v>
      </c>
      <c r="J388" t="s">
        <v>6</v>
      </c>
      <c r="K388">
        <v>16281625</v>
      </c>
      <c r="L388">
        <v>608407</v>
      </c>
      <c r="M388">
        <v>100000</v>
      </c>
      <c r="N388" t="s">
        <v>7</v>
      </c>
      <c r="O388">
        <v>1290549.53</v>
      </c>
      <c r="P388" t="s">
        <v>61</v>
      </c>
      <c r="Q388" t="s">
        <v>8</v>
      </c>
      <c r="R388">
        <v>128533080</v>
      </c>
      <c r="S388">
        <v>128533080</v>
      </c>
      <c r="T388">
        <v>128533080</v>
      </c>
      <c r="U388" t="s">
        <v>62</v>
      </c>
      <c r="V388" t="s">
        <v>63</v>
      </c>
    </row>
    <row r="389" spans="1:22" x14ac:dyDescent="0.25">
      <c r="A389">
        <v>41451347753</v>
      </c>
      <c r="B389" t="s">
        <v>2</v>
      </c>
      <c r="C389" t="s">
        <v>192</v>
      </c>
      <c r="D389">
        <v>41451347753</v>
      </c>
      <c r="E389" s="1">
        <v>46206.680642743057</v>
      </c>
      <c r="F389">
        <v>115</v>
      </c>
      <c r="G389">
        <v>3</v>
      </c>
      <c r="H389" t="s">
        <v>4</v>
      </c>
      <c r="I389" t="s">
        <v>5</v>
      </c>
      <c r="J389" t="s">
        <v>6</v>
      </c>
      <c r="K389">
        <v>16281625</v>
      </c>
      <c r="L389">
        <v>608407</v>
      </c>
      <c r="M389">
        <v>100000</v>
      </c>
      <c r="N389" t="s">
        <v>7</v>
      </c>
      <c r="O389">
        <v>1290549.53</v>
      </c>
      <c r="P389" t="s">
        <v>61</v>
      </c>
      <c r="Q389" t="s">
        <v>8</v>
      </c>
      <c r="R389">
        <v>128533080</v>
      </c>
      <c r="S389">
        <v>128533080</v>
      </c>
      <c r="T389">
        <v>128533080</v>
      </c>
      <c r="U389" t="s">
        <v>62</v>
      </c>
      <c r="V389" t="s">
        <v>63</v>
      </c>
    </row>
    <row r="390" spans="1:22" x14ac:dyDescent="0.25">
      <c r="A390">
        <v>41451349515</v>
      </c>
      <c r="B390" t="s">
        <v>2</v>
      </c>
      <c r="C390" t="s">
        <v>192</v>
      </c>
      <c r="D390">
        <v>41451349515</v>
      </c>
      <c r="E390" s="1">
        <v>46206.681241840277</v>
      </c>
      <c r="F390">
        <v>115</v>
      </c>
      <c r="G390">
        <v>3</v>
      </c>
      <c r="H390" t="s">
        <v>4</v>
      </c>
      <c r="I390" t="s">
        <v>5</v>
      </c>
      <c r="J390" t="s">
        <v>6</v>
      </c>
      <c r="K390">
        <v>16281625</v>
      </c>
      <c r="L390">
        <v>608407</v>
      </c>
      <c r="M390">
        <v>50000</v>
      </c>
      <c r="N390" t="s">
        <v>7</v>
      </c>
      <c r="O390">
        <v>645274.81999999995</v>
      </c>
      <c r="P390" t="s">
        <v>61</v>
      </c>
      <c r="Q390" t="s">
        <v>8</v>
      </c>
      <c r="R390">
        <v>128533080</v>
      </c>
      <c r="S390">
        <v>128533080</v>
      </c>
      <c r="T390">
        <v>128533080</v>
      </c>
      <c r="U390" t="s">
        <v>62</v>
      </c>
      <c r="V390" t="s">
        <v>63</v>
      </c>
    </row>
    <row r="391" spans="1:22" x14ac:dyDescent="0.25">
      <c r="A391">
        <v>41451241623</v>
      </c>
      <c r="B391" t="s">
        <v>10</v>
      </c>
      <c r="C391" t="s">
        <v>192</v>
      </c>
      <c r="D391">
        <v>41451241623</v>
      </c>
      <c r="E391" s="1">
        <v>46206.647496817131</v>
      </c>
      <c r="F391">
        <v>115</v>
      </c>
      <c r="G391">
        <v>3</v>
      </c>
      <c r="H391" t="s">
        <v>4</v>
      </c>
      <c r="I391" t="s">
        <v>5</v>
      </c>
      <c r="J391" t="s">
        <v>6</v>
      </c>
      <c r="K391">
        <v>16281625</v>
      </c>
      <c r="L391">
        <v>608407</v>
      </c>
      <c r="M391">
        <v>100000</v>
      </c>
      <c r="N391" t="s">
        <v>7</v>
      </c>
      <c r="O391">
        <v>1290549.53</v>
      </c>
      <c r="P391" t="s">
        <v>61</v>
      </c>
      <c r="Q391" t="s">
        <v>8</v>
      </c>
      <c r="R391">
        <v>128533080</v>
      </c>
      <c r="S391">
        <v>128533080</v>
      </c>
      <c r="T391">
        <v>128533080</v>
      </c>
      <c r="U391" t="s">
        <v>62</v>
      </c>
      <c r="V391" t="s">
        <v>63</v>
      </c>
    </row>
    <row r="392" spans="1:22" x14ac:dyDescent="0.25">
      <c r="A392">
        <v>41450493081</v>
      </c>
      <c r="B392" t="s">
        <v>10</v>
      </c>
      <c r="C392" t="s">
        <v>192</v>
      </c>
      <c r="D392">
        <v>41450493081</v>
      </c>
      <c r="E392" s="1">
        <v>46206.41441636574</v>
      </c>
      <c r="F392">
        <v>115</v>
      </c>
      <c r="G392">
        <v>3</v>
      </c>
      <c r="H392" t="s">
        <v>68</v>
      </c>
      <c r="I392" t="s">
        <v>5</v>
      </c>
      <c r="J392" t="s">
        <v>6</v>
      </c>
      <c r="K392">
        <v>54606</v>
      </c>
      <c r="L392">
        <v>165760</v>
      </c>
      <c r="M392">
        <v>100000</v>
      </c>
      <c r="N392" t="s">
        <v>7</v>
      </c>
      <c r="O392">
        <v>1290549.53</v>
      </c>
      <c r="P392" t="s">
        <v>69</v>
      </c>
      <c r="Q392" t="s">
        <v>8</v>
      </c>
      <c r="R392">
        <v>102909595</v>
      </c>
      <c r="S392">
        <v>102909595</v>
      </c>
      <c r="T392">
        <v>102909595</v>
      </c>
      <c r="U392" t="s">
        <v>70</v>
      </c>
      <c r="V392" t="s">
        <v>9</v>
      </c>
    </row>
    <row r="393" spans="1:22" x14ac:dyDescent="0.25">
      <c r="A393">
        <v>41450490464</v>
      </c>
      <c r="B393" t="s">
        <v>10</v>
      </c>
      <c r="C393" t="s">
        <v>192</v>
      </c>
      <c r="D393">
        <v>41450490464</v>
      </c>
      <c r="E393" s="1">
        <v>46206.413236064815</v>
      </c>
      <c r="F393">
        <v>115</v>
      </c>
      <c r="G393">
        <v>3</v>
      </c>
      <c r="H393" t="s">
        <v>68</v>
      </c>
      <c r="I393" t="s">
        <v>5</v>
      </c>
      <c r="J393" t="s">
        <v>6</v>
      </c>
      <c r="K393">
        <v>54606</v>
      </c>
      <c r="L393">
        <v>165760</v>
      </c>
      <c r="M393">
        <v>100000</v>
      </c>
      <c r="N393" t="s">
        <v>7</v>
      </c>
      <c r="O393">
        <v>1290549.53</v>
      </c>
      <c r="P393" t="s">
        <v>69</v>
      </c>
      <c r="Q393" t="s">
        <v>8</v>
      </c>
      <c r="R393">
        <v>102909595</v>
      </c>
      <c r="S393">
        <v>102909595</v>
      </c>
      <c r="T393">
        <v>102909595</v>
      </c>
      <c r="U393" t="s">
        <v>70</v>
      </c>
      <c r="V393" t="s">
        <v>9</v>
      </c>
    </row>
    <row r="394" spans="1:22" x14ac:dyDescent="0.25">
      <c r="A394">
        <v>41452226654</v>
      </c>
      <c r="B394" t="s">
        <v>2</v>
      </c>
      <c r="C394" t="s">
        <v>192</v>
      </c>
      <c r="D394">
        <v>41452226654</v>
      </c>
      <c r="E394" s="1">
        <v>46207.438342685185</v>
      </c>
      <c r="F394">
        <v>115</v>
      </c>
      <c r="G394">
        <v>3</v>
      </c>
      <c r="H394" t="s">
        <v>4</v>
      </c>
      <c r="I394" t="s">
        <v>5</v>
      </c>
      <c r="J394" t="s">
        <v>6</v>
      </c>
      <c r="K394">
        <v>16281625</v>
      </c>
      <c r="L394">
        <v>608407</v>
      </c>
      <c r="M394">
        <v>100000</v>
      </c>
      <c r="N394" t="s">
        <v>7</v>
      </c>
      <c r="O394">
        <v>1290549.53</v>
      </c>
      <c r="P394" t="s">
        <v>61</v>
      </c>
      <c r="Q394" t="s">
        <v>8</v>
      </c>
      <c r="R394">
        <v>128533080</v>
      </c>
      <c r="S394">
        <v>128533080</v>
      </c>
      <c r="T394">
        <v>128533080</v>
      </c>
      <c r="U394" t="s">
        <v>62</v>
      </c>
      <c r="V394" t="s">
        <v>63</v>
      </c>
    </row>
    <row r="395" spans="1:22" x14ac:dyDescent="0.25">
      <c r="A395">
        <v>41456137866</v>
      </c>
      <c r="B395" t="s">
        <v>10</v>
      </c>
      <c r="C395" t="s">
        <v>192</v>
      </c>
      <c r="D395">
        <v>41456137866</v>
      </c>
      <c r="E395" s="1">
        <v>46209.794501701392</v>
      </c>
      <c r="F395">
        <v>115</v>
      </c>
      <c r="G395">
        <v>3</v>
      </c>
      <c r="H395" t="s">
        <v>4</v>
      </c>
      <c r="I395" t="s">
        <v>5</v>
      </c>
      <c r="J395" t="s">
        <v>6</v>
      </c>
      <c r="K395">
        <v>50254528</v>
      </c>
      <c r="L395">
        <v>41333</v>
      </c>
      <c r="M395">
        <v>60000</v>
      </c>
      <c r="N395" t="s">
        <v>7</v>
      </c>
      <c r="O395">
        <v>774329.78</v>
      </c>
      <c r="P395" t="s">
        <v>169</v>
      </c>
      <c r="Q395" t="s">
        <v>8</v>
      </c>
      <c r="R395">
        <v>114795784</v>
      </c>
      <c r="S395">
        <v>114795784</v>
      </c>
      <c r="T395">
        <v>114795784</v>
      </c>
      <c r="U395" t="s">
        <v>170</v>
      </c>
      <c r="V395" t="s">
        <v>15</v>
      </c>
    </row>
    <row r="396" spans="1:22" x14ac:dyDescent="0.25">
      <c r="A396">
        <v>41455938889</v>
      </c>
      <c r="B396" t="s">
        <v>10</v>
      </c>
      <c r="C396" t="s">
        <v>192</v>
      </c>
      <c r="D396">
        <v>41455938889</v>
      </c>
      <c r="E396" s="1">
        <v>46209.713750798612</v>
      </c>
      <c r="F396">
        <v>115</v>
      </c>
      <c r="G396">
        <v>3</v>
      </c>
      <c r="H396" t="s">
        <v>4</v>
      </c>
      <c r="I396" t="s">
        <v>5</v>
      </c>
      <c r="J396" t="s">
        <v>6</v>
      </c>
      <c r="K396">
        <v>60372471</v>
      </c>
      <c r="L396">
        <v>209056</v>
      </c>
      <c r="M396">
        <v>55000</v>
      </c>
      <c r="N396" t="s">
        <v>7</v>
      </c>
      <c r="O396">
        <v>709802.3</v>
      </c>
      <c r="P396" t="s">
        <v>77</v>
      </c>
      <c r="Q396" t="s">
        <v>8</v>
      </c>
      <c r="R396">
        <v>135227809</v>
      </c>
      <c r="S396">
        <v>135227809</v>
      </c>
      <c r="T396">
        <v>135227809</v>
      </c>
      <c r="U396" t="s">
        <v>78</v>
      </c>
      <c r="V396" t="s">
        <v>9</v>
      </c>
    </row>
    <row r="397" spans="1:22" x14ac:dyDescent="0.25">
      <c r="A397">
        <v>41455562425</v>
      </c>
      <c r="B397" t="s">
        <v>10</v>
      </c>
      <c r="C397" t="s">
        <v>192</v>
      </c>
      <c r="D397">
        <v>41455562425</v>
      </c>
      <c r="E397" s="1">
        <v>46209.588894768516</v>
      </c>
      <c r="F397">
        <v>115</v>
      </c>
      <c r="G397">
        <v>3</v>
      </c>
      <c r="H397" t="s">
        <v>4</v>
      </c>
      <c r="I397" t="s">
        <v>5</v>
      </c>
      <c r="J397" t="s">
        <v>6</v>
      </c>
      <c r="K397">
        <v>50254528</v>
      </c>
      <c r="L397">
        <v>41333</v>
      </c>
      <c r="M397">
        <v>59000</v>
      </c>
      <c r="N397" t="s">
        <v>7</v>
      </c>
      <c r="O397">
        <v>761424.28</v>
      </c>
      <c r="P397" t="s">
        <v>169</v>
      </c>
      <c r="Q397" t="s">
        <v>8</v>
      </c>
      <c r="R397">
        <v>114795784</v>
      </c>
      <c r="S397">
        <v>114795784</v>
      </c>
      <c r="T397">
        <v>114795784</v>
      </c>
      <c r="U397" t="s">
        <v>170</v>
      </c>
      <c r="V397" t="s">
        <v>15</v>
      </c>
    </row>
    <row r="398" spans="1:22" x14ac:dyDescent="0.25">
      <c r="A398">
        <v>41455493035</v>
      </c>
      <c r="B398" t="s">
        <v>10</v>
      </c>
      <c r="C398" t="s">
        <v>192</v>
      </c>
      <c r="D398">
        <v>41455493035</v>
      </c>
      <c r="E398" s="1">
        <v>46209.568149166669</v>
      </c>
      <c r="F398">
        <v>115</v>
      </c>
      <c r="G398">
        <v>3</v>
      </c>
      <c r="H398" t="s">
        <v>4</v>
      </c>
      <c r="I398" t="s">
        <v>5</v>
      </c>
      <c r="J398" t="s">
        <v>6</v>
      </c>
      <c r="K398">
        <v>54008774</v>
      </c>
      <c r="L398">
        <v>90643</v>
      </c>
      <c r="M398">
        <v>50000</v>
      </c>
      <c r="N398" t="s">
        <v>7</v>
      </c>
      <c r="O398">
        <v>645274.81999999995</v>
      </c>
      <c r="P398" t="s">
        <v>130</v>
      </c>
      <c r="Q398" t="s">
        <v>8</v>
      </c>
      <c r="R398">
        <v>120919394</v>
      </c>
      <c r="S398">
        <v>120919394</v>
      </c>
      <c r="T398">
        <v>120919394</v>
      </c>
      <c r="U398" t="s">
        <v>131</v>
      </c>
      <c r="V398" t="s">
        <v>9</v>
      </c>
    </row>
    <row r="399" spans="1:22" x14ac:dyDescent="0.25">
      <c r="A399">
        <v>41457559096</v>
      </c>
      <c r="B399" t="s">
        <v>10</v>
      </c>
      <c r="C399" t="s">
        <v>192</v>
      </c>
      <c r="D399">
        <v>41457559096</v>
      </c>
      <c r="E399" s="1">
        <v>46210.693101805555</v>
      </c>
      <c r="F399">
        <v>115</v>
      </c>
      <c r="G399">
        <v>3</v>
      </c>
      <c r="H399" t="s">
        <v>4</v>
      </c>
      <c r="I399" t="s">
        <v>5</v>
      </c>
      <c r="J399" t="s">
        <v>6</v>
      </c>
      <c r="K399">
        <v>50254528</v>
      </c>
      <c r="L399">
        <v>41333</v>
      </c>
      <c r="M399">
        <v>80000</v>
      </c>
      <c r="N399" t="s">
        <v>7</v>
      </c>
      <c r="O399">
        <v>1032439.7</v>
      </c>
      <c r="P399" t="s">
        <v>169</v>
      </c>
      <c r="Q399" t="s">
        <v>8</v>
      </c>
      <c r="R399">
        <v>114795784</v>
      </c>
      <c r="S399">
        <v>114795784</v>
      </c>
      <c r="T399">
        <v>114795784</v>
      </c>
      <c r="U399" t="s">
        <v>170</v>
      </c>
      <c r="V399" t="s">
        <v>15</v>
      </c>
    </row>
    <row r="400" spans="1:22" x14ac:dyDescent="0.25">
      <c r="A400">
        <v>41456899665</v>
      </c>
      <c r="B400" t="s">
        <v>10</v>
      </c>
      <c r="C400" t="s">
        <v>192</v>
      </c>
      <c r="D400">
        <v>41456899665</v>
      </c>
      <c r="E400" s="1">
        <v>46210.477408171297</v>
      </c>
      <c r="F400">
        <v>115</v>
      </c>
      <c r="G400">
        <v>3</v>
      </c>
      <c r="H400" t="s">
        <v>4</v>
      </c>
      <c r="I400" t="s">
        <v>5</v>
      </c>
      <c r="J400" t="s">
        <v>6</v>
      </c>
      <c r="K400">
        <v>85532110</v>
      </c>
      <c r="L400">
        <v>608407</v>
      </c>
      <c r="M400">
        <v>55000</v>
      </c>
      <c r="N400" t="s">
        <v>7</v>
      </c>
      <c r="O400">
        <v>709802.3</v>
      </c>
      <c r="P400" t="s">
        <v>111</v>
      </c>
      <c r="Q400" t="s">
        <v>8</v>
      </c>
      <c r="R400">
        <v>123478273</v>
      </c>
      <c r="S400">
        <v>123478273</v>
      </c>
      <c r="T400">
        <v>123478273</v>
      </c>
      <c r="U400" t="s">
        <v>112</v>
      </c>
      <c r="V400" t="s">
        <v>9</v>
      </c>
    </row>
    <row r="401" spans="1:22" x14ac:dyDescent="0.25">
      <c r="A401">
        <v>41456954979</v>
      </c>
      <c r="B401" t="s">
        <v>2</v>
      </c>
      <c r="C401" t="s">
        <v>192</v>
      </c>
      <c r="D401">
        <v>41456954979</v>
      </c>
      <c r="E401" s="1">
        <v>46210.496085254628</v>
      </c>
      <c r="F401">
        <v>115</v>
      </c>
      <c r="G401">
        <v>3</v>
      </c>
      <c r="H401" t="s">
        <v>4</v>
      </c>
      <c r="I401" t="s">
        <v>5</v>
      </c>
      <c r="J401" t="s">
        <v>6</v>
      </c>
      <c r="K401">
        <v>50254528</v>
      </c>
      <c r="L401">
        <v>41333</v>
      </c>
      <c r="M401">
        <v>80000</v>
      </c>
      <c r="N401" t="s">
        <v>7</v>
      </c>
      <c r="O401">
        <v>1032439.7</v>
      </c>
      <c r="P401" t="s">
        <v>169</v>
      </c>
      <c r="Q401" t="s">
        <v>8</v>
      </c>
      <c r="R401">
        <v>114795784</v>
      </c>
      <c r="S401">
        <v>114795784</v>
      </c>
      <c r="T401">
        <v>114795784</v>
      </c>
      <c r="U401" t="s">
        <v>170</v>
      </c>
      <c r="V401" t="s">
        <v>15</v>
      </c>
    </row>
    <row r="402" spans="1:22" x14ac:dyDescent="0.25">
      <c r="A402">
        <v>41458638970</v>
      </c>
      <c r="B402" t="s">
        <v>10</v>
      </c>
      <c r="C402" t="s">
        <v>192</v>
      </c>
      <c r="D402">
        <v>41458638970</v>
      </c>
      <c r="E402" s="1">
        <v>46211.500167245373</v>
      </c>
      <c r="F402">
        <v>115</v>
      </c>
      <c r="G402">
        <v>3</v>
      </c>
      <c r="H402" t="s">
        <v>4</v>
      </c>
      <c r="I402" t="s">
        <v>5</v>
      </c>
      <c r="J402" t="s">
        <v>6</v>
      </c>
      <c r="K402">
        <v>61949425</v>
      </c>
      <c r="L402">
        <v>406437</v>
      </c>
      <c r="M402">
        <v>49990</v>
      </c>
      <c r="N402" t="s">
        <v>7</v>
      </c>
      <c r="O402">
        <v>645145.71</v>
      </c>
      <c r="P402" t="s">
        <v>34</v>
      </c>
      <c r="Q402" t="s">
        <v>8</v>
      </c>
      <c r="R402">
        <v>118924208</v>
      </c>
      <c r="S402">
        <v>118924208</v>
      </c>
      <c r="T402">
        <v>118924208</v>
      </c>
      <c r="U402" t="s">
        <v>35</v>
      </c>
      <c r="V402" t="s">
        <v>9</v>
      </c>
    </row>
    <row r="403" spans="1:22" x14ac:dyDescent="0.25">
      <c r="A403">
        <v>41458656962</v>
      </c>
      <c r="B403" t="s">
        <v>10</v>
      </c>
      <c r="C403" t="s">
        <v>192</v>
      </c>
      <c r="D403">
        <v>41458656962</v>
      </c>
      <c r="E403" s="1">
        <v>46211.506139965277</v>
      </c>
      <c r="F403">
        <v>115</v>
      </c>
      <c r="G403">
        <v>3</v>
      </c>
      <c r="H403" t="s">
        <v>4</v>
      </c>
      <c r="I403" t="s">
        <v>5</v>
      </c>
      <c r="J403" t="s">
        <v>6</v>
      </c>
      <c r="K403">
        <v>12775154</v>
      </c>
      <c r="L403">
        <v>406437</v>
      </c>
      <c r="M403">
        <v>89861</v>
      </c>
      <c r="N403" t="s">
        <v>7</v>
      </c>
      <c r="O403">
        <v>1159700.77</v>
      </c>
      <c r="P403" t="s">
        <v>113</v>
      </c>
      <c r="Q403" t="s">
        <v>8</v>
      </c>
      <c r="R403">
        <v>107919482</v>
      </c>
      <c r="S403">
        <v>107919482</v>
      </c>
      <c r="T403">
        <v>107919482</v>
      </c>
      <c r="U403" t="s">
        <v>114</v>
      </c>
      <c r="V403" t="s">
        <v>115</v>
      </c>
    </row>
    <row r="404" spans="1:22" x14ac:dyDescent="0.25">
      <c r="A404">
        <v>41458164138</v>
      </c>
      <c r="B404" t="s">
        <v>10</v>
      </c>
      <c r="C404" t="s">
        <v>192</v>
      </c>
      <c r="D404">
        <v>41458164138</v>
      </c>
      <c r="E404" s="1">
        <v>46211.052859166666</v>
      </c>
      <c r="F404">
        <v>115</v>
      </c>
      <c r="G404">
        <v>3</v>
      </c>
      <c r="H404" t="s">
        <v>140</v>
      </c>
      <c r="I404" t="s">
        <v>5</v>
      </c>
      <c r="J404" t="s">
        <v>6</v>
      </c>
      <c r="K404">
        <v>13389011</v>
      </c>
      <c r="L404">
        <v>50200</v>
      </c>
      <c r="M404">
        <v>35000</v>
      </c>
      <c r="N404" t="s">
        <v>7</v>
      </c>
      <c r="O404">
        <v>451692.37</v>
      </c>
      <c r="P404" t="s">
        <v>141</v>
      </c>
      <c r="Q404" t="s">
        <v>8</v>
      </c>
      <c r="R404">
        <v>125587352</v>
      </c>
      <c r="S404">
        <v>125587352</v>
      </c>
      <c r="T404">
        <v>125587352</v>
      </c>
      <c r="U404" t="s">
        <v>142</v>
      </c>
      <c r="V404" t="s">
        <v>9</v>
      </c>
    </row>
    <row r="405" spans="1:22" x14ac:dyDescent="0.25">
      <c r="A405">
        <v>41458164248</v>
      </c>
      <c r="B405" t="s">
        <v>10</v>
      </c>
      <c r="C405" t="s">
        <v>192</v>
      </c>
      <c r="D405">
        <v>41458164248</v>
      </c>
      <c r="E405" s="1">
        <v>46211.052869004627</v>
      </c>
      <c r="F405">
        <v>115</v>
      </c>
      <c r="G405">
        <v>3</v>
      </c>
      <c r="H405" t="s">
        <v>140</v>
      </c>
      <c r="I405" t="s">
        <v>5</v>
      </c>
      <c r="J405" t="s">
        <v>6</v>
      </c>
      <c r="K405">
        <v>13389011</v>
      </c>
      <c r="L405">
        <v>50200</v>
      </c>
      <c r="M405">
        <v>50000</v>
      </c>
      <c r="N405" t="s">
        <v>7</v>
      </c>
      <c r="O405">
        <v>645274.81999999995</v>
      </c>
      <c r="P405" t="s">
        <v>141</v>
      </c>
      <c r="Q405" t="s">
        <v>8</v>
      </c>
      <c r="R405">
        <v>125587352</v>
      </c>
      <c r="S405">
        <v>125587352</v>
      </c>
      <c r="T405">
        <v>125587352</v>
      </c>
      <c r="U405" t="s">
        <v>142</v>
      </c>
      <c r="V405" t="s">
        <v>9</v>
      </c>
    </row>
    <row r="406" spans="1:22" x14ac:dyDescent="0.25">
      <c r="A406">
        <v>41461001762</v>
      </c>
      <c r="B406" t="s">
        <v>10</v>
      </c>
      <c r="C406" t="s">
        <v>192</v>
      </c>
      <c r="D406">
        <v>41461001762</v>
      </c>
      <c r="E406" s="1">
        <v>46212.74098869213</v>
      </c>
      <c r="F406">
        <v>115</v>
      </c>
      <c r="G406">
        <v>3</v>
      </c>
      <c r="H406" t="s">
        <v>171</v>
      </c>
      <c r="I406" t="s">
        <v>5</v>
      </c>
      <c r="J406" t="s">
        <v>6</v>
      </c>
      <c r="K406">
        <v>1487140</v>
      </c>
      <c r="L406">
        <v>403823</v>
      </c>
      <c r="M406">
        <v>50000</v>
      </c>
      <c r="N406" t="s">
        <v>7</v>
      </c>
      <c r="O406">
        <v>645274.81999999995</v>
      </c>
      <c r="P406" t="s">
        <v>172</v>
      </c>
      <c r="Q406" t="s">
        <v>8</v>
      </c>
      <c r="R406">
        <v>112032156</v>
      </c>
      <c r="S406">
        <v>112032156</v>
      </c>
      <c r="T406">
        <v>112032156</v>
      </c>
      <c r="U406" t="s">
        <v>173</v>
      </c>
      <c r="V406" t="s">
        <v>9</v>
      </c>
    </row>
    <row r="407" spans="1:22" x14ac:dyDescent="0.25">
      <c r="A407">
        <v>41462835117</v>
      </c>
      <c r="B407" t="s">
        <v>10</v>
      </c>
      <c r="C407" t="s">
        <v>192</v>
      </c>
      <c r="D407">
        <v>41462835117</v>
      </c>
      <c r="E407" s="1">
        <v>46213.782349236113</v>
      </c>
      <c r="F407">
        <v>115</v>
      </c>
      <c r="G407">
        <v>3</v>
      </c>
      <c r="H407" t="s">
        <v>143</v>
      </c>
      <c r="I407" t="s">
        <v>5</v>
      </c>
      <c r="J407" t="s">
        <v>6</v>
      </c>
      <c r="K407">
        <v>10235121</v>
      </c>
      <c r="L407">
        <v>403232</v>
      </c>
      <c r="M407">
        <v>100000</v>
      </c>
      <c r="N407" t="s">
        <v>7</v>
      </c>
      <c r="O407">
        <v>1290549.53</v>
      </c>
      <c r="P407" t="s">
        <v>144</v>
      </c>
      <c r="Q407" t="s">
        <v>8</v>
      </c>
      <c r="R407">
        <v>148525652</v>
      </c>
      <c r="S407">
        <v>148525652</v>
      </c>
      <c r="T407">
        <v>148525652</v>
      </c>
      <c r="U407" t="s">
        <v>145</v>
      </c>
      <c r="V407" t="s">
        <v>9</v>
      </c>
    </row>
    <row r="408" spans="1:22" x14ac:dyDescent="0.25">
      <c r="A408">
        <v>41462839274</v>
      </c>
      <c r="B408" t="s">
        <v>10</v>
      </c>
      <c r="C408" t="s">
        <v>192</v>
      </c>
      <c r="D408">
        <v>41462839274</v>
      </c>
      <c r="E408" s="1">
        <v>46213.784352766204</v>
      </c>
      <c r="F408">
        <v>115</v>
      </c>
      <c r="G408">
        <v>3</v>
      </c>
      <c r="H408" t="s">
        <v>143</v>
      </c>
      <c r="I408" t="s">
        <v>5</v>
      </c>
      <c r="J408" t="s">
        <v>6</v>
      </c>
      <c r="K408">
        <v>10235121</v>
      </c>
      <c r="L408">
        <v>403232</v>
      </c>
      <c r="M408">
        <v>100000</v>
      </c>
      <c r="N408" t="s">
        <v>7</v>
      </c>
      <c r="O408">
        <v>1290549.53</v>
      </c>
      <c r="P408" t="s">
        <v>144</v>
      </c>
      <c r="Q408" t="s">
        <v>8</v>
      </c>
      <c r="R408">
        <v>148525652</v>
      </c>
      <c r="S408">
        <v>148525652</v>
      </c>
      <c r="T408">
        <v>148525652</v>
      </c>
      <c r="U408" t="s">
        <v>145</v>
      </c>
      <c r="V408" t="s">
        <v>9</v>
      </c>
    </row>
    <row r="409" spans="1:22" x14ac:dyDescent="0.25">
      <c r="A409">
        <v>41462850655</v>
      </c>
      <c r="B409" t="s">
        <v>2</v>
      </c>
      <c r="C409" t="s">
        <v>192</v>
      </c>
      <c r="D409">
        <v>41462850655</v>
      </c>
      <c r="E409" s="1">
        <v>46213.789105752316</v>
      </c>
      <c r="F409">
        <v>115</v>
      </c>
      <c r="G409">
        <v>3</v>
      </c>
      <c r="H409" t="s">
        <v>143</v>
      </c>
      <c r="I409" t="s">
        <v>5</v>
      </c>
      <c r="J409" t="s">
        <v>6</v>
      </c>
      <c r="K409">
        <v>10235121</v>
      </c>
      <c r="L409">
        <v>403232</v>
      </c>
      <c r="M409">
        <v>80000</v>
      </c>
      <c r="N409" t="s">
        <v>7</v>
      </c>
      <c r="O409">
        <v>1032439.7</v>
      </c>
      <c r="P409" t="s">
        <v>144</v>
      </c>
      <c r="Q409" t="s">
        <v>8</v>
      </c>
      <c r="R409">
        <v>148525652</v>
      </c>
      <c r="S409">
        <v>148525652</v>
      </c>
      <c r="T409">
        <v>148525652</v>
      </c>
      <c r="U409" t="s">
        <v>145</v>
      </c>
      <c r="V409" t="s">
        <v>9</v>
      </c>
    </row>
    <row r="410" spans="1:22" x14ac:dyDescent="0.25">
      <c r="A410">
        <v>41462004245</v>
      </c>
      <c r="B410" t="s">
        <v>10</v>
      </c>
      <c r="C410" t="s">
        <v>192</v>
      </c>
      <c r="D410">
        <v>41462004245</v>
      </c>
      <c r="E410" s="1">
        <v>46213.504077106481</v>
      </c>
      <c r="F410">
        <v>115</v>
      </c>
      <c r="G410">
        <v>3</v>
      </c>
      <c r="H410" t="s">
        <v>4</v>
      </c>
      <c r="I410" t="s">
        <v>5</v>
      </c>
      <c r="J410" t="s">
        <v>6</v>
      </c>
      <c r="K410">
        <v>6666272</v>
      </c>
      <c r="L410">
        <v>180002</v>
      </c>
      <c r="M410">
        <v>80000</v>
      </c>
      <c r="N410" t="s">
        <v>7</v>
      </c>
      <c r="O410">
        <v>1032439.7</v>
      </c>
      <c r="P410" t="s">
        <v>116</v>
      </c>
      <c r="Q410" t="s">
        <v>8</v>
      </c>
      <c r="R410">
        <v>110380607</v>
      </c>
      <c r="S410">
        <v>110380607</v>
      </c>
      <c r="T410">
        <v>110380607</v>
      </c>
      <c r="U410" t="s">
        <v>117</v>
      </c>
      <c r="V410" t="s">
        <v>15</v>
      </c>
    </row>
    <row r="411" spans="1:22" x14ac:dyDescent="0.25">
      <c r="A411">
        <v>41464172459</v>
      </c>
      <c r="B411" t="s">
        <v>10</v>
      </c>
      <c r="C411" t="s">
        <v>192</v>
      </c>
      <c r="D411">
        <v>41464172459</v>
      </c>
      <c r="E411" s="1">
        <v>46214.725021134262</v>
      </c>
      <c r="F411">
        <v>115</v>
      </c>
      <c r="G411">
        <v>3</v>
      </c>
      <c r="H411" t="s">
        <v>4</v>
      </c>
      <c r="I411" t="s">
        <v>5</v>
      </c>
      <c r="J411" t="s">
        <v>6</v>
      </c>
      <c r="K411">
        <v>54044309</v>
      </c>
      <c r="L411">
        <v>90643</v>
      </c>
      <c r="M411">
        <v>49000</v>
      </c>
      <c r="N411" t="s">
        <v>7</v>
      </c>
      <c r="O411">
        <v>632369.31999999995</v>
      </c>
      <c r="P411" t="s">
        <v>174</v>
      </c>
      <c r="Q411" t="s">
        <v>8</v>
      </c>
      <c r="R411">
        <v>114795784</v>
      </c>
      <c r="S411">
        <v>114795784</v>
      </c>
      <c r="T411">
        <v>114795784</v>
      </c>
      <c r="U411" t="s">
        <v>170</v>
      </c>
      <c r="V411" t="s">
        <v>15</v>
      </c>
    </row>
    <row r="412" spans="1:22" x14ac:dyDescent="0.25">
      <c r="A412">
        <v>41463745341</v>
      </c>
      <c r="B412" t="s">
        <v>2</v>
      </c>
      <c r="C412" t="s">
        <v>192</v>
      </c>
      <c r="D412">
        <v>41463745341</v>
      </c>
      <c r="E412" s="1">
        <v>46214.552352708335</v>
      </c>
      <c r="F412">
        <v>115</v>
      </c>
      <c r="G412">
        <v>3</v>
      </c>
      <c r="H412" t="s">
        <v>143</v>
      </c>
      <c r="I412" t="s">
        <v>5</v>
      </c>
      <c r="J412" t="s">
        <v>6</v>
      </c>
      <c r="K412">
        <v>10235121</v>
      </c>
      <c r="L412">
        <v>403232</v>
      </c>
      <c r="M412">
        <v>80000</v>
      </c>
      <c r="N412" t="s">
        <v>7</v>
      </c>
      <c r="O412">
        <v>1032439.7</v>
      </c>
      <c r="P412" t="s">
        <v>144</v>
      </c>
      <c r="Q412" t="s">
        <v>8</v>
      </c>
      <c r="R412">
        <v>148525652</v>
      </c>
      <c r="S412">
        <v>148525652</v>
      </c>
      <c r="T412">
        <v>148525652</v>
      </c>
      <c r="U412" t="s">
        <v>145</v>
      </c>
      <c r="V412" t="s">
        <v>9</v>
      </c>
    </row>
    <row r="413" spans="1:22" x14ac:dyDescent="0.25">
      <c r="A413">
        <v>41463606609</v>
      </c>
      <c r="B413" t="s">
        <v>2</v>
      </c>
      <c r="C413" t="s">
        <v>192</v>
      </c>
      <c r="D413">
        <v>41463606609</v>
      </c>
      <c r="E413" s="1">
        <v>46214.506083831016</v>
      </c>
      <c r="F413">
        <v>115</v>
      </c>
      <c r="G413">
        <v>3</v>
      </c>
      <c r="H413" t="s">
        <v>16</v>
      </c>
      <c r="I413" t="s">
        <v>5</v>
      </c>
      <c r="J413" t="s">
        <v>6</v>
      </c>
      <c r="K413">
        <v>57317232</v>
      </c>
      <c r="L413">
        <v>555010</v>
      </c>
      <c r="M413">
        <v>100000</v>
      </c>
      <c r="N413" t="s">
        <v>7</v>
      </c>
      <c r="O413">
        <v>1290549.53</v>
      </c>
      <c r="P413" t="s">
        <v>17</v>
      </c>
      <c r="Q413" t="s">
        <v>8</v>
      </c>
      <c r="R413">
        <v>146573514</v>
      </c>
      <c r="S413">
        <v>146573514</v>
      </c>
      <c r="T413">
        <v>146573514</v>
      </c>
      <c r="U413" t="s">
        <v>18</v>
      </c>
      <c r="V413" t="s">
        <v>15</v>
      </c>
    </row>
    <row r="414" spans="1:22" x14ac:dyDescent="0.25">
      <c r="A414">
        <v>41463610727</v>
      </c>
      <c r="B414" t="s">
        <v>2</v>
      </c>
      <c r="C414" t="s">
        <v>192</v>
      </c>
      <c r="D414">
        <v>41463610727</v>
      </c>
      <c r="E414" s="1">
        <v>46214.50736797454</v>
      </c>
      <c r="F414">
        <v>115</v>
      </c>
      <c r="G414">
        <v>3</v>
      </c>
      <c r="H414" t="s">
        <v>19</v>
      </c>
      <c r="I414" t="s">
        <v>5</v>
      </c>
      <c r="J414" t="s">
        <v>6</v>
      </c>
      <c r="K414">
        <v>51396080</v>
      </c>
      <c r="L414">
        <v>404031</v>
      </c>
      <c r="M414">
        <v>95000</v>
      </c>
      <c r="N414" t="s">
        <v>7</v>
      </c>
      <c r="O414">
        <v>1226022.05</v>
      </c>
      <c r="P414" t="s">
        <v>17</v>
      </c>
      <c r="Q414" t="s">
        <v>8</v>
      </c>
      <c r="R414">
        <v>146573514</v>
      </c>
      <c r="S414">
        <v>146573514</v>
      </c>
      <c r="T414">
        <v>146573514</v>
      </c>
      <c r="U414" t="s">
        <v>18</v>
      </c>
      <c r="V414" t="s">
        <v>15</v>
      </c>
    </row>
    <row r="415" spans="1:22" x14ac:dyDescent="0.25">
      <c r="A415">
        <v>41463594320</v>
      </c>
      <c r="B415" t="s">
        <v>10</v>
      </c>
      <c r="C415" t="s">
        <v>192</v>
      </c>
      <c r="D415">
        <v>41463594320</v>
      </c>
      <c r="E415" s="1">
        <v>46214.502113020833</v>
      </c>
      <c r="F415">
        <v>115</v>
      </c>
      <c r="G415">
        <v>3</v>
      </c>
      <c r="H415" t="s">
        <v>16</v>
      </c>
      <c r="I415" t="s">
        <v>5</v>
      </c>
      <c r="J415" t="s">
        <v>6</v>
      </c>
      <c r="K415">
        <v>57317232</v>
      </c>
      <c r="L415">
        <v>555010</v>
      </c>
      <c r="M415">
        <v>100000</v>
      </c>
      <c r="N415" t="s">
        <v>7</v>
      </c>
      <c r="O415">
        <v>1290549.53</v>
      </c>
      <c r="P415" t="s">
        <v>17</v>
      </c>
      <c r="Q415" t="s">
        <v>8</v>
      </c>
      <c r="R415">
        <v>146573514</v>
      </c>
      <c r="S415">
        <v>146573514</v>
      </c>
      <c r="T415">
        <v>146573514</v>
      </c>
      <c r="U415" t="s">
        <v>18</v>
      </c>
      <c r="V415" t="s">
        <v>15</v>
      </c>
    </row>
    <row r="416" spans="1:22" x14ac:dyDescent="0.25">
      <c r="A416">
        <v>41463601364</v>
      </c>
      <c r="B416" t="s">
        <v>2</v>
      </c>
      <c r="C416" t="s">
        <v>192</v>
      </c>
      <c r="D416">
        <v>41463601364</v>
      </c>
      <c r="E416" s="1">
        <v>46214.504335254627</v>
      </c>
      <c r="F416">
        <v>115</v>
      </c>
      <c r="G416">
        <v>3</v>
      </c>
      <c r="H416" t="s">
        <v>19</v>
      </c>
      <c r="I416" t="s">
        <v>5</v>
      </c>
      <c r="J416" t="s">
        <v>6</v>
      </c>
      <c r="K416">
        <v>51396080</v>
      </c>
      <c r="L416">
        <v>404031</v>
      </c>
      <c r="M416">
        <v>100000</v>
      </c>
      <c r="N416" t="s">
        <v>7</v>
      </c>
      <c r="O416">
        <v>1290549.53</v>
      </c>
      <c r="P416" t="s">
        <v>17</v>
      </c>
      <c r="Q416" t="s">
        <v>8</v>
      </c>
      <c r="R416">
        <v>146573514</v>
      </c>
      <c r="S416">
        <v>146573514</v>
      </c>
      <c r="T416">
        <v>146573514</v>
      </c>
      <c r="U416" t="s">
        <v>18</v>
      </c>
      <c r="V416" t="s">
        <v>15</v>
      </c>
    </row>
    <row r="417" spans="1:22" x14ac:dyDescent="0.25">
      <c r="A417">
        <v>41463253599</v>
      </c>
      <c r="B417" t="s">
        <v>10</v>
      </c>
      <c r="C417" t="s">
        <v>192</v>
      </c>
      <c r="D417">
        <v>41463253599</v>
      </c>
      <c r="E417" s="1">
        <v>46214.292391076386</v>
      </c>
      <c r="F417">
        <v>115</v>
      </c>
      <c r="G417">
        <v>3</v>
      </c>
      <c r="H417" t="s">
        <v>4</v>
      </c>
      <c r="I417" t="s">
        <v>5</v>
      </c>
      <c r="J417" t="s">
        <v>6</v>
      </c>
      <c r="K417">
        <v>70368032</v>
      </c>
      <c r="L417">
        <v>165873</v>
      </c>
      <c r="M417">
        <v>100000</v>
      </c>
      <c r="N417" t="s">
        <v>7</v>
      </c>
      <c r="O417">
        <v>1290549.53</v>
      </c>
      <c r="P417" t="s">
        <v>79</v>
      </c>
      <c r="Q417" t="s">
        <v>8</v>
      </c>
      <c r="R417">
        <v>101421915</v>
      </c>
      <c r="S417">
        <v>101421915</v>
      </c>
      <c r="T417">
        <v>101421915</v>
      </c>
      <c r="U417" t="s">
        <v>80</v>
      </c>
      <c r="V417" t="s">
        <v>9</v>
      </c>
    </row>
    <row r="418" spans="1:22" x14ac:dyDescent="0.25">
      <c r="A418">
        <v>41466468310</v>
      </c>
      <c r="B418" t="s">
        <v>10</v>
      </c>
      <c r="C418" t="s">
        <v>192</v>
      </c>
      <c r="D418">
        <v>41466468310</v>
      </c>
      <c r="E418" s="1">
        <v>46216.561366215275</v>
      </c>
      <c r="F418">
        <v>115</v>
      </c>
      <c r="G418">
        <v>3</v>
      </c>
      <c r="H418" t="s">
        <v>49</v>
      </c>
      <c r="I418" t="s">
        <v>5</v>
      </c>
      <c r="J418" t="s">
        <v>6</v>
      </c>
      <c r="K418">
        <v>58219401</v>
      </c>
      <c r="L418">
        <v>230580</v>
      </c>
      <c r="M418">
        <v>41000</v>
      </c>
      <c r="N418" t="s">
        <v>7</v>
      </c>
      <c r="O418">
        <v>529125.35</v>
      </c>
      <c r="P418" t="s">
        <v>86</v>
      </c>
      <c r="Q418" t="s">
        <v>8</v>
      </c>
      <c r="R418">
        <v>135057461</v>
      </c>
      <c r="S418">
        <v>135057461</v>
      </c>
      <c r="T418">
        <v>135057461</v>
      </c>
      <c r="U418" t="s">
        <v>87</v>
      </c>
      <c r="V418" t="s">
        <v>15</v>
      </c>
    </row>
    <row r="419" spans="1:22" x14ac:dyDescent="0.25">
      <c r="A419">
        <v>41466461015</v>
      </c>
      <c r="B419" t="s">
        <v>10</v>
      </c>
      <c r="C419" t="s">
        <v>192</v>
      </c>
      <c r="D419">
        <v>41466461015</v>
      </c>
      <c r="E419" s="1">
        <v>46216.558741689812</v>
      </c>
      <c r="F419">
        <v>115</v>
      </c>
      <c r="G419">
        <v>3</v>
      </c>
      <c r="H419" t="s">
        <v>49</v>
      </c>
      <c r="I419" t="s">
        <v>5</v>
      </c>
      <c r="J419" t="s">
        <v>6</v>
      </c>
      <c r="K419">
        <v>58219401</v>
      </c>
      <c r="L419">
        <v>230580</v>
      </c>
      <c r="M419">
        <v>60000</v>
      </c>
      <c r="N419" t="s">
        <v>7</v>
      </c>
      <c r="O419">
        <v>774329.78</v>
      </c>
      <c r="P419" t="s">
        <v>86</v>
      </c>
      <c r="Q419" t="s">
        <v>8</v>
      </c>
      <c r="R419">
        <v>135057461</v>
      </c>
      <c r="S419">
        <v>135057461</v>
      </c>
      <c r="T419">
        <v>135057461</v>
      </c>
      <c r="U419" t="s">
        <v>87</v>
      </c>
      <c r="V419" t="s">
        <v>15</v>
      </c>
    </row>
    <row r="420" spans="1:22" x14ac:dyDescent="0.25">
      <c r="A420">
        <v>41469373194</v>
      </c>
      <c r="B420" t="s">
        <v>10</v>
      </c>
      <c r="C420" t="s">
        <v>192</v>
      </c>
      <c r="D420">
        <v>41469373194</v>
      </c>
      <c r="E420" s="1">
        <v>46218.500676041665</v>
      </c>
      <c r="F420">
        <v>115</v>
      </c>
      <c r="G420">
        <v>3</v>
      </c>
      <c r="H420" t="s">
        <v>175</v>
      </c>
      <c r="I420" t="s">
        <v>5</v>
      </c>
      <c r="J420" t="s">
        <v>6</v>
      </c>
      <c r="K420">
        <v>91378988</v>
      </c>
      <c r="L420">
        <v>403416</v>
      </c>
      <c r="M420">
        <v>76990</v>
      </c>
      <c r="N420" t="s">
        <v>7</v>
      </c>
      <c r="O420">
        <v>993594.11</v>
      </c>
      <c r="P420" t="s">
        <v>176</v>
      </c>
      <c r="Q420" t="s">
        <v>8</v>
      </c>
      <c r="R420">
        <v>148071459</v>
      </c>
      <c r="S420">
        <v>148071459</v>
      </c>
      <c r="T420">
        <v>148071459</v>
      </c>
      <c r="U420" t="s">
        <v>177</v>
      </c>
      <c r="V420" t="s">
        <v>178</v>
      </c>
    </row>
    <row r="421" spans="1:22" x14ac:dyDescent="0.25">
      <c r="A421">
        <v>41473974572</v>
      </c>
      <c r="B421" t="s">
        <v>10</v>
      </c>
      <c r="C421" t="s">
        <v>192</v>
      </c>
      <c r="D421">
        <v>41473974572</v>
      </c>
      <c r="E421" s="1">
        <v>46220.77032113426</v>
      </c>
      <c r="F421">
        <v>115</v>
      </c>
      <c r="G421">
        <v>3</v>
      </c>
      <c r="H421" t="s">
        <v>4</v>
      </c>
      <c r="I421" t="s">
        <v>5</v>
      </c>
      <c r="J421" t="s">
        <v>6</v>
      </c>
      <c r="K421">
        <v>63246516</v>
      </c>
      <c r="L421">
        <v>608407</v>
      </c>
      <c r="M421">
        <v>90000</v>
      </c>
      <c r="N421" t="s">
        <v>7</v>
      </c>
      <c r="O421">
        <v>1161494.57</v>
      </c>
      <c r="P421" t="s">
        <v>94</v>
      </c>
      <c r="Q421" t="s">
        <v>8</v>
      </c>
      <c r="R421">
        <v>123075137</v>
      </c>
      <c r="S421">
        <v>123075137</v>
      </c>
      <c r="T421">
        <v>123075137</v>
      </c>
      <c r="U421" t="s">
        <v>95</v>
      </c>
      <c r="V421" t="s">
        <v>9</v>
      </c>
    </row>
    <row r="422" spans="1:22" x14ac:dyDescent="0.25">
      <c r="A422">
        <v>41473704457</v>
      </c>
      <c r="B422" t="s">
        <v>10</v>
      </c>
      <c r="C422" t="s">
        <v>192</v>
      </c>
      <c r="D422">
        <v>41473704457</v>
      </c>
      <c r="E422" s="1">
        <v>46220.664305046295</v>
      </c>
      <c r="F422">
        <v>115</v>
      </c>
      <c r="G422">
        <v>3</v>
      </c>
      <c r="H422" t="s">
        <v>4</v>
      </c>
      <c r="I422" t="s">
        <v>5</v>
      </c>
      <c r="J422" t="s">
        <v>6</v>
      </c>
      <c r="K422">
        <v>26406586</v>
      </c>
      <c r="L422">
        <v>608456</v>
      </c>
      <c r="M422">
        <v>85000</v>
      </c>
      <c r="N422" t="s">
        <v>7</v>
      </c>
      <c r="O422">
        <v>1096967.19</v>
      </c>
      <c r="P422" t="s">
        <v>98</v>
      </c>
      <c r="Q422" t="s">
        <v>8</v>
      </c>
      <c r="R422">
        <v>96716188</v>
      </c>
      <c r="S422">
        <v>96716188</v>
      </c>
      <c r="T422">
        <v>96716188</v>
      </c>
      <c r="U422" t="s">
        <v>99</v>
      </c>
      <c r="V422" t="s">
        <v>9</v>
      </c>
    </row>
    <row r="423" spans="1:22" x14ac:dyDescent="0.25">
      <c r="A423">
        <v>41480028554</v>
      </c>
      <c r="B423" t="s">
        <v>10</v>
      </c>
      <c r="C423" t="s">
        <v>192</v>
      </c>
      <c r="D423">
        <v>41480028554</v>
      </c>
      <c r="E423" s="1">
        <v>46224.750596863429</v>
      </c>
      <c r="F423">
        <v>115</v>
      </c>
      <c r="G423">
        <v>3</v>
      </c>
      <c r="H423" t="s">
        <v>4</v>
      </c>
      <c r="I423" t="s">
        <v>5</v>
      </c>
      <c r="J423" t="s">
        <v>6</v>
      </c>
      <c r="K423">
        <v>58200138</v>
      </c>
      <c r="L423">
        <v>608407</v>
      </c>
      <c r="M423">
        <v>50000</v>
      </c>
      <c r="N423" t="s">
        <v>7</v>
      </c>
      <c r="O423">
        <v>649241.99</v>
      </c>
      <c r="P423" t="s">
        <v>100</v>
      </c>
      <c r="Q423" t="s">
        <v>8</v>
      </c>
      <c r="R423">
        <v>105353056</v>
      </c>
      <c r="S423">
        <v>105353056</v>
      </c>
      <c r="T423">
        <v>105353056</v>
      </c>
      <c r="U423" t="s">
        <v>101</v>
      </c>
      <c r="V423" t="s">
        <v>9</v>
      </c>
    </row>
    <row r="424" spans="1:22" x14ac:dyDescent="0.25">
      <c r="A424">
        <v>41483437207</v>
      </c>
      <c r="B424" t="s">
        <v>10</v>
      </c>
      <c r="C424" t="s">
        <v>192</v>
      </c>
      <c r="D424">
        <v>41483437207</v>
      </c>
      <c r="E424" s="1">
        <v>46226.782014652781</v>
      </c>
      <c r="F424">
        <v>115</v>
      </c>
      <c r="G424">
        <v>3</v>
      </c>
      <c r="H424" t="s">
        <v>4</v>
      </c>
      <c r="I424" t="s">
        <v>5</v>
      </c>
      <c r="J424" t="s">
        <v>6</v>
      </c>
      <c r="K424">
        <v>54088624</v>
      </c>
      <c r="L424">
        <v>90643</v>
      </c>
      <c r="M424">
        <v>75000</v>
      </c>
      <c r="N424" t="s">
        <v>7</v>
      </c>
      <c r="O424">
        <v>973862.99</v>
      </c>
      <c r="P424" t="s">
        <v>281</v>
      </c>
      <c r="Q424" t="s">
        <v>8</v>
      </c>
      <c r="R424">
        <v>108965344</v>
      </c>
      <c r="S424">
        <v>108965344</v>
      </c>
      <c r="T424">
        <v>108965344</v>
      </c>
      <c r="U424" t="s">
        <v>282</v>
      </c>
      <c r="V424" t="s">
        <v>9</v>
      </c>
    </row>
    <row r="425" spans="1:22" x14ac:dyDescent="0.25">
      <c r="A425">
        <v>41483244960</v>
      </c>
      <c r="B425" t="s">
        <v>106</v>
      </c>
      <c r="C425" t="s">
        <v>192</v>
      </c>
      <c r="D425">
        <v>41483244960</v>
      </c>
      <c r="E425" s="1">
        <v>46226.727365856481</v>
      </c>
      <c r="F425">
        <v>115</v>
      </c>
      <c r="G425">
        <v>3</v>
      </c>
      <c r="H425" t="s">
        <v>4</v>
      </c>
      <c r="I425" t="s">
        <v>5</v>
      </c>
      <c r="J425" t="s">
        <v>6</v>
      </c>
      <c r="K425">
        <v>17554591</v>
      </c>
      <c r="L425">
        <v>40339</v>
      </c>
      <c r="M425">
        <v>50000</v>
      </c>
      <c r="N425" t="s">
        <v>7</v>
      </c>
      <c r="O425">
        <v>649241.99</v>
      </c>
      <c r="P425" t="s">
        <v>107</v>
      </c>
      <c r="Q425" t="s">
        <v>8</v>
      </c>
      <c r="R425">
        <v>105870745</v>
      </c>
      <c r="S425">
        <v>105870745</v>
      </c>
      <c r="T425">
        <v>105870745</v>
      </c>
      <c r="U425" t="s">
        <v>108</v>
      </c>
      <c r="V425" t="s">
        <v>9</v>
      </c>
    </row>
    <row r="426" spans="1:22" x14ac:dyDescent="0.25">
      <c r="A426">
        <v>41483254891</v>
      </c>
      <c r="B426" t="s">
        <v>10</v>
      </c>
      <c r="C426" t="s">
        <v>192</v>
      </c>
      <c r="D426">
        <v>41483254891</v>
      </c>
      <c r="E426" s="1">
        <v>46226.731042407409</v>
      </c>
      <c r="F426">
        <v>115</v>
      </c>
      <c r="G426">
        <v>3</v>
      </c>
      <c r="H426" t="s">
        <v>4</v>
      </c>
      <c r="I426" t="s">
        <v>5</v>
      </c>
      <c r="J426" t="s">
        <v>6</v>
      </c>
      <c r="K426">
        <v>73114139</v>
      </c>
      <c r="L426">
        <v>406437</v>
      </c>
      <c r="M426">
        <v>100000</v>
      </c>
      <c r="N426" t="s">
        <v>7</v>
      </c>
      <c r="O426">
        <v>1298483.98</v>
      </c>
      <c r="P426" t="s">
        <v>36</v>
      </c>
      <c r="Q426" t="s">
        <v>8</v>
      </c>
      <c r="R426">
        <v>119228773</v>
      </c>
      <c r="S426">
        <v>119228773</v>
      </c>
      <c r="T426">
        <v>119228773</v>
      </c>
      <c r="U426" t="s">
        <v>37</v>
      </c>
      <c r="V426" t="s">
        <v>15</v>
      </c>
    </row>
    <row r="427" spans="1:22" x14ac:dyDescent="0.25">
      <c r="A427">
        <v>41483063386</v>
      </c>
      <c r="B427" t="s">
        <v>2</v>
      </c>
      <c r="C427" t="s">
        <v>192</v>
      </c>
      <c r="D427">
        <v>41483063386</v>
      </c>
      <c r="E427" s="1">
        <v>46226.662101180555</v>
      </c>
      <c r="F427">
        <v>115</v>
      </c>
      <c r="G427">
        <v>3</v>
      </c>
      <c r="H427" t="s">
        <v>4</v>
      </c>
      <c r="I427" t="s">
        <v>5</v>
      </c>
      <c r="J427" t="s">
        <v>6</v>
      </c>
      <c r="K427">
        <v>83372888</v>
      </c>
      <c r="L427">
        <v>608407</v>
      </c>
      <c r="M427">
        <v>80000</v>
      </c>
      <c r="N427" t="s">
        <v>7</v>
      </c>
      <c r="O427">
        <v>1038787.21</v>
      </c>
      <c r="P427" t="s">
        <v>38</v>
      </c>
      <c r="Q427" t="s">
        <v>8</v>
      </c>
      <c r="R427">
        <v>122720485</v>
      </c>
      <c r="S427">
        <v>122720485</v>
      </c>
      <c r="T427">
        <v>122720485</v>
      </c>
      <c r="U427" t="s">
        <v>39</v>
      </c>
      <c r="V427" t="s">
        <v>9</v>
      </c>
    </row>
    <row r="428" spans="1:22" x14ac:dyDescent="0.25">
      <c r="A428">
        <v>41482548652</v>
      </c>
      <c r="B428" t="s">
        <v>10</v>
      </c>
      <c r="C428" t="s">
        <v>192</v>
      </c>
      <c r="D428">
        <v>41482548652</v>
      </c>
      <c r="E428" s="1">
        <v>46226.492796134262</v>
      </c>
      <c r="F428">
        <v>115</v>
      </c>
      <c r="G428">
        <v>3</v>
      </c>
      <c r="H428" t="s">
        <v>20</v>
      </c>
      <c r="I428" t="s">
        <v>5</v>
      </c>
      <c r="J428" t="s">
        <v>6</v>
      </c>
      <c r="K428">
        <v>13139066</v>
      </c>
      <c r="L428">
        <v>804887</v>
      </c>
      <c r="M428">
        <v>90000</v>
      </c>
      <c r="N428" t="s">
        <v>7</v>
      </c>
      <c r="O428">
        <v>1168635.6399999999</v>
      </c>
      <c r="P428" t="s">
        <v>21</v>
      </c>
      <c r="Q428" t="s">
        <v>8</v>
      </c>
      <c r="R428">
        <v>135198109</v>
      </c>
      <c r="S428">
        <v>135198109</v>
      </c>
      <c r="T428">
        <v>135198109</v>
      </c>
      <c r="U428" t="s">
        <v>22</v>
      </c>
      <c r="V428" t="s">
        <v>15</v>
      </c>
    </row>
    <row r="429" spans="1:22" x14ac:dyDescent="0.25">
      <c r="A429">
        <v>41486220957</v>
      </c>
      <c r="B429" t="s">
        <v>2</v>
      </c>
      <c r="C429" t="s">
        <v>192</v>
      </c>
      <c r="D429">
        <v>41486220957</v>
      </c>
      <c r="E429" s="1">
        <v>46227.856335497687</v>
      </c>
      <c r="F429">
        <v>115</v>
      </c>
      <c r="G429">
        <v>3</v>
      </c>
      <c r="H429" t="s">
        <v>4</v>
      </c>
      <c r="I429" t="s">
        <v>5</v>
      </c>
      <c r="J429" t="s">
        <v>6</v>
      </c>
      <c r="K429">
        <v>26180505</v>
      </c>
      <c r="L429">
        <v>608407</v>
      </c>
      <c r="M429">
        <v>100000</v>
      </c>
      <c r="N429" t="s">
        <v>7</v>
      </c>
      <c r="O429">
        <v>1298483.98</v>
      </c>
      <c r="P429" t="s">
        <v>265</v>
      </c>
      <c r="Q429" t="s">
        <v>8</v>
      </c>
      <c r="R429">
        <v>126118058</v>
      </c>
      <c r="S429">
        <v>126118058</v>
      </c>
      <c r="T429">
        <v>126118058</v>
      </c>
      <c r="U429" t="s">
        <v>264</v>
      </c>
      <c r="V429" t="s">
        <v>15</v>
      </c>
    </row>
    <row r="430" spans="1:22" x14ac:dyDescent="0.25">
      <c r="A430">
        <v>41486224304</v>
      </c>
      <c r="B430" t="s">
        <v>2</v>
      </c>
      <c r="C430" t="s">
        <v>192</v>
      </c>
      <c r="D430">
        <v>41486224304</v>
      </c>
      <c r="E430" s="1">
        <v>46227.857881863427</v>
      </c>
      <c r="F430">
        <v>115</v>
      </c>
      <c r="G430">
        <v>3</v>
      </c>
      <c r="H430" t="s">
        <v>4</v>
      </c>
      <c r="I430" t="s">
        <v>5</v>
      </c>
      <c r="J430" t="s">
        <v>6</v>
      </c>
      <c r="K430">
        <v>26180505</v>
      </c>
      <c r="L430">
        <v>608407</v>
      </c>
      <c r="M430">
        <v>100000</v>
      </c>
      <c r="N430" t="s">
        <v>7</v>
      </c>
      <c r="O430">
        <v>1298483.98</v>
      </c>
      <c r="P430" t="s">
        <v>265</v>
      </c>
      <c r="Q430" t="s">
        <v>8</v>
      </c>
      <c r="R430">
        <v>126118058</v>
      </c>
      <c r="S430">
        <v>126118058</v>
      </c>
      <c r="T430">
        <v>126118058</v>
      </c>
      <c r="U430" t="s">
        <v>264</v>
      </c>
      <c r="V430" t="s">
        <v>15</v>
      </c>
    </row>
    <row r="431" spans="1:22" x14ac:dyDescent="0.25">
      <c r="A431">
        <v>41486216916</v>
      </c>
      <c r="B431" t="s">
        <v>2</v>
      </c>
      <c r="C431" t="s">
        <v>192</v>
      </c>
      <c r="D431">
        <v>41486216916</v>
      </c>
      <c r="E431" s="1">
        <v>46227.854579432867</v>
      </c>
      <c r="F431">
        <v>115</v>
      </c>
      <c r="G431">
        <v>3</v>
      </c>
      <c r="H431" t="s">
        <v>4</v>
      </c>
      <c r="I431" t="s">
        <v>5</v>
      </c>
      <c r="J431" t="s">
        <v>6</v>
      </c>
      <c r="K431">
        <v>26180505</v>
      </c>
      <c r="L431">
        <v>608407</v>
      </c>
      <c r="M431">
        <v>100000</v>
      </c>
      <c r="N431" t="s">
        <v>7</v>
      </c>
      <c r="O431">
        <v>1298483.98</v>
      </c>
      <c r="P431" t="s">
        <v>216</v>
      </c>
      <c r="Q431" t="s">
        <v>8</v>
      </c>
      <c r="R431">
        <v>126118058</v>
      </c>
      <c r="S431">
        <v>126118058</v>
      </c>
      <c r="T431">
        <v>126118058</v>
      </c>
      <c r="U431" t="s">
        <v>264</v>
      </c>
      <c r="V431" t="s">
        <v>15</v>
      </c>
    </row>
    <row r="432" spans="1:22" x14ac:dyDescent="0.25">
      <c r="A432">
        <v>41486213067</v>
      </c>
      <c r="B432" t="s">
        <v>2</v>
      </c>
      <c r="C432" t="s">
        <v>192</v>
      </c>
      <c r="D432">
        <v>41486213067</v>
      </c>
      <c r="E432" s="1">
        <v>46227.852821099536</v>
      </c>
      <c r="F432">
        <v>115</v>
      </c>
      <c r="G432">
        <v>3</v>
      </c>
      <c r="H432" t="s">
        <v>4</v>
      </c>
      <c r="I432" t="s">
        <v>5</v>
      </c>
      <c r="J432" t="s">
        <v>6</v>
      </c>
      <c r="K432">
        <v>26180505</v>
      </c>
      <c r="L432">
        <v>608407</v>
      </c>
      <c r="M432">
        <v>100000</v>
      </c>
      <c r="N432" t="s">
        <v>7</v>
      </c>
      <c r="O432">
        <v>1298483.98</v>
      </c>
      <c r="P432" t="s">
        <v>216</v>
      </c>
      <c r="Q432" t="s">
        <v>8</v>
      </c>
      <c r="R432">
        <v>126118058</v>
      </c>
      <c r="S432">
        <v>126118058</v>
      </c>
      <c r="T432">
        <v>126118058</v>
      </c>
      <c r="U432" t="s">
        <v>264</v>
      </c>
      <c r="V432" t="s">
        <v>15</v>
      </c>
    </row>
    <row r="433" spans="1:22" x14ac:dyDescent="0.25">
      <c r="A433">
        <v>41485691443</v>
      </c>
      <c r="B433" t="s">
        <v>10</v>
      </c>
      <c r="C433" t="s">
        <v>192</v>
      </c>
      <c r="D433">
        <v>41485691443</v>
      </c>
      <c r="E433" s="1">
        <v>46227.673347314812</v>
      </c>
      <c r="F433">
        <v>115</v>
      </c>
      <c r="G433">
        <v>3</v>
      </c>
      <c r="H433" t="s">
        <v>4</v>
      </c>
      <c r="I433" t="s">
        <v>5</v>
      </c>
      <c r="J433" t="s">
        <v>6</v>
      </c>
      <c r="K433">
        <v>81635056</v>
      </c>
      <c r="L433">
        <v>406437</v>
      </c>
      <c r="M433">
        <v>50000</v>
      </c>
      <c r="N433" t="s">
        <v>7</v>
      </c>
      <c r="O433">
        <v>649241.99</v>
      </c>
      <c r="P433" t="s">
        <v>351</v>
      </c>
      <c r="Q433" t="s">
        <v>8</v>
      </c>
      <c r="R433">
        <v>121862155</v>
      </c>
      <c r="S433">
        <v>121862155</v>
      </c>
      <c r="T433">
        <v>121862155</v>
      </c>
      <c r="U433" t="s">
        <v>352</v>
      </c>
      <c r="V433" t="s">
        <v>9</v>
      </c>
    </row>
    <row r="434" spans="1:22" x14ac:dyDescent="0.25">
      <c r="A434">
        <v>41488362553</v>
      </c>
      <c r="B434" t="s">
        <v>10</v>
      </c>
      <c r="C434" t="s">
        <v>192</v>
      </c>
      <c r="D434">
        <v>41488362553</v>
      </c>
      <c r="E434" s="1">
        <v>46229.419012523147</v>
      </c>
      <c r="F434">
        <v>115</v>
      </c>
      <c r="G434">
        <v>3</v>
      </c>
      <c r="H434" t="s">
        <v>4</v>
      </c>
      <c r="I434" t="s">
        <v>5</v>
      </c>
      <c r="J434" t="s">
        <v>6</v>
      </c>
      <c r="K434">
        <v>12647717</v>
      </c>
      <c r="L434">
        <v>608407</v>
      </c>
      <c r="M434">
        <v>75000</v>
      </c>
      <c r="N434" t="s">
        <v>7</v>
      </c>
      <c r="O434">
        <v>973862.99</v>
      </c>
      <c r="P434" t="s">
        <v>353</v>
      </c>
      <c r="Q434" t="s">
        <v>8</v>
      </c>
      <c r="R434">
        <v>116134032</v>
      </c>
      <c r="S434">
        <v>116134032</v>
      </c>
      <c r="T434">
        <v>116134032</v>
      </c>
      <c r="U434" t="s">
        <v>354</v>
      </c>
      <c r="V434" t="s">
        <v>15</v>
      </c>
    </row>
    <row r="435" spans="1:22" x14ac:dyDescent="0.25">
      <c r="A435">
        <v>41493575842</v>
      </c>
      <c r="B435" t="s">
        <v>10</v>
      </c>
      <c r="C435" t="s">
        <v>192</v>
      </c>
      <c r="D435">
        <v>41493575842</v>
      </c>
      <c r="E435" s="1">
        <v>46231.883915451392</v>
      </c>
      <c r="F435">
        <v>115</v>
      </c>
      <c r="G435">
        <v>3</v>
      </c>
      <c r="H435" t="s">
        <v>4</v>
      </c>
      <c r="I435" t="s">
        <v>5</v>
      </c>
      <c r="J435" t="s">
        <v>6</v>
      </c>
      <c r="K435">
        <v>13117510</v>
      </c>
      <c r="L435">
        <v>608407</v>
      </c>
      <c r="M435">
        <v>100000</v>
      </c>
      <c r="N435" t="s">
        <v>7</v>
      </c>
      <c r="O435">
        <v>1298483.98</v>
      </c>
      <c r="P435" t="s">
        <v>268</v>
      </c>
      <c r="Q435" t="s">
        <v>8</v>
      </c>
      <c r="R435">
        <v>119625572</v>
      </c>
      <c r="S435">
        <v>119625572</v>
      </c>
      <c r="T435">
        <v>119625572</v>
      </c>
      <c r="U435" t="s">
        <v>269</v>
      </c>
      <c r="V435" t="s">
        <v>9</v>
      </c>
    </row>
    <row r="436" spans="1:22" x14ac:dyDescent="0.25">
      <c r="A436">
        <v>41492875280</v>
      </c>
      <c r="B436" t="s">
        <v>10</v>
      </c>
      <c r="C436" t="s">
        <v>192</v>
      </c>
      <c r="D436">
        <v>41492875280</v>
      </c>
      <c r="E436" s="1">
        <v>46231.613631250002</v>
      </c>
      <c r="F436">
        <v>115</v>
      </c>
      <c r="G436">
        <v>3</v>
      </c>
      <c r="H436" t="s">
        <v>4</v>
      </c>
      <c r="I436" t="s">
        <v>5</v>
      </c>
      <c r="J436" t="s">
        <v>6</v>
      </c>
      <c r="K436">
        <v>93115724</v>
      </c>
      <c r="L436">
        <v>609204</v>
      </c>
      <c r="M436">
        <v>80000</v>
      </c>
      <c r="N436" t="s">
        <v>7</v>
      </c>
      <c r="O436">
        <v>1038787.21</v>
      </c>
      <c r="P436" t="s">
        <v>285</v>
      </c>
      <c r="Q436" t="s">
        <v>8</v>
      </c>
      <c r="R436">
        <v>140114752</v>
      </c>
      <c r="S436">
        <v>140114752</v>
      </c>
      <c r="T436">
        <v>140114752</v>
      </c>
      <c r="U436" t="s">
        <v>286</v>
      </c>
      <c r="V436" t="s">
        <v>9</v>
      </c>
    </row>
    <row r="437" spans="1:22" x14ac:dyDescent="0.25">
      <c r="A437">
        <v>41494751270</v>
      </c>
      <c r="B437" t="s">
        <v>10</v>
      </c>
      <c r="C437" t="s">
        <v>192</v>
      </c>
      <c r="D437">
        <v>41494751270</v>
      </c>
      <c r="E437" s="1">
        <v>46232.584292164349</v>
      </c>
      <c r="F437">
        <v>115</v>
      </c>
      <c r="G437">
        <v>3</v>
      </c>
      <c r="H437" t="s">
        <v>4</v>
      </c>
      <c r="I437" t="s">
        <v>5</v>
      </c>
      <c r="J437" t="s">
        <v>6</v>
      </c>
      <c r="K437">
        <v>89260625</v>
      </c>
      <c r="L437">
        <v>230120</v>
      </c>
      <c r="M437">
        <v>75000</v>
      </c>
      <c r="N437" t="s">
        <v>7</v>
      </c>
      <c r="O437">
        <v>973862.99</v>
      </c>
      <c r="P437" t="s">
        <v>270</v>
      </c>
      <c r="Q437" t="s">
        <v>8</v>
      </c>
      <c r="R437">
        <v>110818184</v>
      </c>
      <c r="S437">
        <v>110818184</v>
      </c>
      <c r="T437">
        <v>110818184</v>
      </c>
      <c r="U437" t="s">
        <v>271</v>
      </c>
      <c r="V437" t="s">
        <v>15</v>
      </c>
    </row>
    <row r="438" spans="1:22" x14ac:dyDescent="0.25">
      <c r="A438">
        <v>41494217700</v>
      </c>
      <c r="B438" t="s">
        <v>10</v>
      </c>
      <c r="C438" t="s">
        <v>192</v>
      </c>
      <c r="D438">
        <v>41494217700</v>
      </c>
      <c r="E438" s="1">
        <v>46232.388965416663</v>
      </c>
      <c r="F438">
        <v>115</v>
      </c>
      <c r="G438">
        <v>3</v>
      </c>
      <c r="H438" t="s">
        <v>4</v>
      </c>
      <c r="I438" t="s">
        <v>5</v>
      </c>
      <c r="J438" t="s">
        <v>6</v>
      </c>
      <c r="K438">
        <v>89260625</v>
      </c>
      <c r="L438">
        <v>230120</v>
      </c>
      <c r="M438">
        <v>75000</v>
      </c>
      <c r="N438" t="s">
        <v>7</v>
      </c>
      <c r="O438">
        <v>973862.99</v>
      </c>
      <c r="P438" t="s">
        <v>270</v>
      </c>
      <c r="Q438" t="s">
        <v>8</v>
      </c>
      <c r="R438">
        <v>110818184</v>
      </c>
      <c r="S438">
        <v>110818184</v>
      </c>
      <c r="T438">
        <v>110818184</v>
      </c>
      <c r="U438" t="s">
        <v>271</v>
      </c>
      <c r="V438" t="s">
        <v>15</v>
      </c>
    </row>
    <row r="439" spans="1:22" x14ac:dyDescent="0.25">
      <c r="A439">
        <v>41499919515</v>
      </c>
      <c r="B439" t="s">
        <v>2</v>
      </c>
      <c r="C439" t="s">
        <v>192</v>
      </c>
      <c r="D439">
        <v>41499919515</v>
      </c>
      <c r="E439" s="1">
        <v>46235.700332476852</v>
      </c>
      <c r="F439">
        <v>115</v>
      </c>
      <c r="G439">
        <v>3</v>
      </c>
      <c r="H439" t="s">
        <v>4</v>
      </c>
      <c r="I439" t="s">
        <v>5</v>
      </c>
      <c r="J439" t="s">
        <v>6</v>
      </c>
      <c r="K439">
        <v>38307720</v>
      </c>
      <c r="L439">
        <v>90130</v>
      </c>
      <c r="M439">
        <v>40240.32</v>
      </c>
      <c r="N439" t="s">
        <v>7</v>
      </c>
      <c r="O439">
        <v>522514.15</v>
      </c>
      <c r="P439" t="s">
        <v>302</v>
      </c>
      <c r="Q439" t="s">
        <v>8</v>
      </c>
      <c r="R439">
        <v>119007375</v>
      </c>
      <c r="S439">
        <v>119007375</v>
      </c>
      <c r="T439">
        <v>119007375</v>
      </c>
      <c r="U439" t="s">
        <v>303</v>
      </c>
      <c r="V439" t="s">
        <v>15</v>
      </c>
    </row>
    <row r="440" spans="1:22" x14ac:dyDescent="0.25">
      <c r="A440">
        <v>41499878714</v>
      </c>
      <c r="B440" t="s">
        <v>10</v>
      </c>
      <c r="C440" t="s">
        <v>192</v>
      </c>
      <c r="D440">
        <v>41499878714</v>
      </c>
      <c r="E440" s="1">
        <v>46235.681359004629</v>
      </c>
      <c r="F440">
        <v>115</v>
      </c>
      <c r="G440">
        <v>3</v>
      </c>
      <c r="H440" t="s">
        <v>4</v>
      </c>
      <c r="I440" t="s">
        <v>5</v>
      </c>
      <c r="J440" t="s">
        <v>6</v>
      </c>
      <c r="K440">
        <v>10475655</v>
      </c>
      <c r="L440">
        <v>40831</v>
      </c>
      <c r="M440">
        <v>50000</v>
      </c>
      <c r="N440" t="s">
        <v>7</v>
      </c>
      <c r="O440">
        <v>649241.99</v>
      </c>
      <c r="P440" t="s">
        <v>300</v>
      </c>
      <c r="Q440" t="s">
        <v>8</v>
      </c>
      <c r="R440">
        <v>105779995</v>
      </c>
      <c r="S440">
        <v>105779995</v>
      </c>
      <c r="T440">
        <v>105779995</v>
      </c>
      <c r="U440" t="s">
        <v>301</v>
      </c>
      <c r="V440" t="s">
        <v>9</v>
      </c>
    </row>
    <row r="441" spans="1:22" x14ac:dyDescent="0.25">
      <c r="A441">
        <v>41502365582</v>
      </c>
      <c r="B441" t="s">
        <v>10</v>
      </c>
      <c r="C441" t="s">
        <v>192</v>
      </c>
      <c r="D441">
        <v>41502365582</v>
      </c>
      <c r="E441" s="1">
        <v>46237.546154699077</v>
      </c>
      <c r="F441">
        <v>115</v>
      </c>
      <c r="G441">
        <v>3</v>
      </c>
      <c r="H441" t="s">
        <v>4</v>
      </c>
      <c r="I441" t="s">
        <v>5</v>
      </c>
      <c r="J441" t="s">
        <v>6</v>
      </c>
      <c r="K441">
        <v>3649830</v>
      </c>
      <c r="L441">
        <v>203775</v>
      </c>
      <c r="M441">
        <v>100000</v>
      </c>
      <c r="N441" t="s">
        <v>7</v>
      </c>
      <c r="O441">
        <v>1298483.98</v>
      </c>
      <c r="P441" t="s">
        <v>330</v>
      </c>
      <c r="Q441" t="s">
        <v>8</v>
      </c>
      <c r="R441">
        <v>124780263</v>
      </c>
      <c r="S441">
        <v>124780263</v>
      </c>
      <c r="T441">
        <v>124780263</v>
      </c>
      <c r="U441" t="s">
        <v>331</v>
      </c>
      <c r="V441" t="s">
        <v>15</v>
      </c>
    </row>
    <row r="442" spans="1:22" x14ac:dyDescent="0.25">
      <c r="A442">
        <v>41504465001</v>
      </c>
      <c r="B442" t="s">
        <v>10</v>
      </c>
      <c r="C442" t="s">
        <v>192</v>
      </c>
      <c r="D442">
        <v>41504465001</v>
      </c>
      <c r="E442" s="1">
        <v>46238.723351250002</v>
      </c>
      <c r="F442">
        <v>115</v>
      </c>
      <c r="G442">
        <v>3</v>
      </c>
      <c r="H442" t="s">
        <v>272</v>
      </c>
      <c r="I442" t="s">
        <v>5</v>
      </c>
      <c r="J442" t="s">
        <v>6</v>
      </c>
      <c r="K442">
        <v>12571423</v>
      </c>
      <c r="L442">
        <v>165187</v>
      </c>
      <c r="M442">
        <v>100000</v>
      </c>
      <c r="N442" t="s">
        <v>7</v>
      </c>
      <c r="O442">
        <v>1298483.98</v>
      </c>
      <c r="P442" t="s">
        <v>273</v>
      </c>
      <c r="Q442" t="s">
        <v>8</v>
      </c>
      <c r="R442">
        <v>104115159</v>
      </c>
      <c r="S442">
        <v>104115159</v>
      </c>
      <c r="T442">
        <v>104115159</v>
      </c>
      <c r="U442" t="s">
        <v>274</v>
      </c>
      <c r="V442" t="s">
        <v>9</v>
      </c>
    </row>
    <row r="443" spans="1:22" x14ac:dyDescent="0.25">
      <c r="A443">
        <v>41504240618</v>
      </c>
      <c r="B443" t="s">
        <v>10</v>
      </c>
      <c r="C443" t="s">
        <v>192</v>
      </c>
      <c r="D443">
        <v>41504240618</v>
      </c>
      <c r="E443" s="1">
        <v>46238.64076490741</v>
      </c>
      <c r="F443">
        <v>115</v>
      </c>
      <c r="G443">
        <v>3</v>
      </c>
      <c r="H443" t="s">
        <v>49</v>
      </c>
      <c r="I443" t="s">
        <v>5</v>
      </c>
      <c r="J443" t="s">
        <v>6</v>
      </c>
      <c r="K443">
        <v>43082167</v>
      </c>
      <c r="L443">
        <v>230580</v>
      </c>
      <c r="M443">
        <v>100000</v>
      </c>
      <c r="N443" t="s">
        <v>7</v>
      </c>
      <c r="O443">
        <v>1298483.98</v>
      </c>
      <c r="P443" t="s">
        <v>308</v>
      </c>
      <c r="Q443" t="s">
        <v>8</v>
      </c>
      <c r="R443">
        <v>130575269</v>
      </c>
      <c r="S443">
        <v>130575269</v>
      </c>
      <c r="T443">
        <v>130575269</v>
      </c>
      <c r="U443" t="s">
        <v>309</v>
      </c>
      <c r="V443" t="s">
        <v>9</v>
      </c>
    </row>
    <row r="444" spans="1:22" x14ac:dyDescent="0.25">
      <c r="A444">
        <v>41506175931</v>
      </c>
      <c r="B444" t="s">
        <v>10</v>
      </c>
      <c r="C444" t="s">
        <v>192</v>
      </c>
      <c r="D444">
        <v>41506175931</v>
      </c>
      <c r="E444" s="1">
        <v>46239.801748020836</v>
      </c>
      <c r="F444">
        <v>115</v>
      </c>
      <c r="G444">
        <v>3</v>
      </c>
      <c r="H444" t="s">
        <v>311</v>
      </c>
      <c r="I444" t="s">
        <v>5</v>
      </c>
      <c r="J444" t="s">
        <v>6</v>
      </c>
      <c r="K444">
        <v>80166232</v>
      </c>
      <c r="L444">
        <v>159900</v>
      </c>
      <c r="M444">
        <v>100000</v>
      </c>
      <c r="N444" t="s">
        <v>7</v>
      </c>
      <c r="O444">
        <v>1298483.98</v>
      </c>
      <c r="P444" t="s">
        <v>45</v>
      </c>
      <c r="Q444" t="s">
        <v>8</v>
      </c>
      <c r="R444">
        <v>107953069</v>
      </c>
      <c r="S444">
        <v>107953069</v>
      </c>
      <c r="T444">
        <v>107953069</v>
      </c>
      <c r="U444" t="s">
        <v>312</v>
      </c>
      <c r="V444" t="s">
        <v>15</v>
      </c>
    </row>
    <row r="445" spans="1:22" x14ac:dyDescent="0.25">
      <c r="A445">
        <v>41506176989</v>
      </c>
      <c r="B445" t="s">
        <v>10</v>
      </c>
      <c r="C445" t="s">
        <v>192</v>
      </c>
      <c r="D445">
        <v>41506176989</v>
      </c>
      <c r="E445" s="1">
        <v>46239.802213900461</v>
      </c>
      <c r="F445">
        <v>115</v>
      </c>
      <c r="G445">
        <v>3</v>
      </c>
      <c r="H445" t="s">
        <v>311</v>
      </c>
      <c r="I445" t="s">
        <v>5</v>
      </c>
      <c r="J445" t="s">
        <v>6</v>
      </c>
      <c r="K445">
        <v>80166232</v>
      </c>
      <c r="L445">
        <v>159900</v>
      </c>
      <c r="M445">
        <v>100000</v>
      </c>
      <c r="N445" t="s">
        <v>7</v>
      </c>
      <c r="O445">
        <v>1298483.98</v>
      </c>
      <c r="P445" t="s">
        <v>45</v>
      </c>
      <c r="Q445" t="s">
        <v>8</v>
      </c>
      <c r="R445">
        <v>107953069</v>
      </c>
      <c r="S445">
        <v>107953069</v>
      </c>
      <c r="T445">
        <v>107953069</v>
      </c>
      <c r="U445" t="s">
        <v>312</v>
      </c>
      <c r="V445" t="s">
        <v>15</v>
      </c>
    </row>
    <row r="446" spans="1:22" x14ac:dyDescent="0.25">
      <c r="A446">
        <v>41507542452</v>
      </c>
      <c r="B446" t="s">
        <v>2</v>
      </c>
      <c r="C446" t="s">
        <v>192</v>
      </c>
      <c r="D446">
        <v>41507542452</v>
      </c>
      <c r="E446" s="1">
        <v>46240.723994270833</v>
      </c>
      <c r="F446">
        <v>115</v>
      </c>
      <c r="G446">
        <v>3</v>
      </c>
      <c r="H446" t="s">
        <v>4</v>
      </c>
      <c r="I446" t="s">
        <v>5</v>
      </c>
      <c r="J446" t="s">
        <v>6</v>
      </c>
      <c r="K446">
        <v>83770192</v>
      </c>
      <c r="L446">
        <v>203964</v>
      </c>
      <c r="M446">
        <v>99000</v>
      </c>
      <c r="N446" t="s">
        <v>7</v>
      </c>
      <c r="O446">
        <v>1285499.1399999999</v>
      </c>
      <c r="P446" t="s">
        <v>275</v>
      </c>
      <c r="Q446" t="s">
        <v>8</v>
      </c>
      <c r="R446">
        <v>111831293</v>
      </c>
      <c r="S446">
        <v>111831293</v>
      </c>
      <c r="T446">
        <v>111831293</v>
      </c>
      <c r="U446" t="s">
        <v>276</v>
      </c>
      <c r="V446" t="s">
        <v>9</v>
      </c>
    </row>
    <row r="447" spans="1:22" x14ac:dyDescent="0.25">
      <c r="A447">
        <v>41506604141</v>
      </c>
      <c r="B447" t="s">
        <v>10</v>
      </c>
      <c r="C447" t="s">
        <v>192</v>
      </c>
      <c r="D447">
        <v>41506604141</v>
      </c>
      <c r="E447" s="1">
        <v>46240.363165173614</v>
      </c>
      <c r="F447">
        <v>115</v>
      </c>
      <c r="G447">
        <v>3</v>
      </c>
      <c r="H447" t="s">
        <v>4</v>
      </c>
      <c r="I447" t="s">
        <v>5</v>
      </c>
      <c r="J447" t="s">
        <v>6</v>
      </c>
      <c r="K447">
        <v>18406146</v>
      </c>
      <c r="L447">
        <v>406369</v>
      </c>
      <c r="M447">
        <v>40000</v>
      </c>
      <c r="N447" t="s">
        <v>7</v>
      </c>
      <c r="O447">
        <v>519393.55</v>
      </c>
      <c r="P447" t="s">
        <v>315</v>
      </c>
      <c r="Q447" t="s">
        <v>8</v>
      </c>
      <c r="R447">
        <v>113231211</v>
      </c>
      <c r="S447">
        <v>113231211</v>
      </c>
      <c r="T447">
        <v>113231211</v>
      </c>
      <c r="U447" t="s">
        <v>316</v>
      </c>
      <c r="V447" t="s">
        <v>9</v>
      </c>
    </row>
    <row r="448" spans="1:22" x14ac:dyDescent="0.25">
      <c r="A448">
        <v>41508714421</v>
      </c>
      <c r="B448" t="s">
        <v>10</v>
      </c>
      <c r="C448" t="s">
        <v>192</v>
      </c>
      <c r="D448">
        <v>41508714421</v>
      </c>
      <c r="E448" s="1">
        <v>46241.569795671297</v>
      </c>
      <c r="F448">
        <v>115</v>
      </c>
      <c r="G448">
        <v>3</v>
      </c>
      <c r="H448" t="s">
        <v>4</v>
      </c>
      <c r="I448" t="s">
        <v>5</v>
      </c>
      <c r="J448" t="s">
        <v>6</v>
      </c>
      <c r="K448">
        <v>83770192</v>
      </c>
      <c r="L448">
        <v>203964</v>
      </c>
      <c r="M448">
        <v>99000</v>
      </c>
      <c r="N448" t="s">
        <v>7</v>
      </c>
      <c r="O448">
        <v>1285499.1399999999</v>
      </c>
      <c r="P448" t="s">
        <v>275</v>
      </c>
      <c r="Q448" t="s">
        <v>8</v>
      </c>
      <c r="R448">
        <v>111831293</v>
      </c>
      <c r="S448">
        <v>111831293</v>
      </c>
      <c r="T448">
        <v>111831293</v>
      </c>
      <c r="U448" t="s">
        <v>276</v>
      </c>
      <c r="V448" t="s">
        <v>9</v>
      </c>
    </row>
    <row r="449" spans="1:22" x14ac:dyDescent="0.25">
      <c r="A449">
        <v>41508569084</v>
      </c>
      <c r="B449" t="s">
        <v>10</v>
      </c>
      <c r="C449" t="s">
        <v>192</v>
      </c>
      <c r="D449">
        <v>41508569084</v>
      </c>
      <c r="E449" s="1">
        <v>46241.525195162038</v>
      </c>
      <c r="F449">
        <v>115</v>
      </c>
      <c r="G449">
        <v>3</v>
      </c>
      <c r="H449" t="s">
        <v>4</v>
      </c>
      <c r="I449" t="s">
        <v>5</v>
      </c>
      <c r="J449" t="s">
        <v>6</v>
      </c>
      <c r="K449">
        <v>90673684</v>
      </c>
      <c r="L449">
        <v>204451</v>
      </c>
      <c r="M449">
        <v>49999</v>
      </c>
      <c r="N449" t="s">
        <v>7</v>
      </c>
      <c r="O449">
        <v>649229.06000000006</v>
      </c>
      <c r="P449" t="s">
        <v>277</v>
      </c>
      <c r="Q449" t="s">
        <v>8</v>
      </c>
      <c r="R449">
        <v>145002978</v>
      </c>
      <c r="S449">
        <v>145002978</v>
      </c>
      <c r="T449">
        <v>145002978</v>
      </c>
      <c r="U449" t="s">
        <v>278</v>
      </c>
      <c r="V449" t="s">
        <v>9</v>
      </c>
    </row>
    <row r="450" spans="1:22" x14ac:dyDescent="0.25">
      <c r="A450">
        <v>41512058559</v>
      </c>
      <c r="B450" t="s">
        <v>10</v>
      </c>
      <c r="C450" t="s">
        <v>192</v>
      </c>
      <c r="D450">
        <v>41512058559</v>
      </c>
      <c r="E450" s="1">
        <v>46243.834629398145</v>
      </c>
      <c r="F450">
        <v>115</v>
      </c>
      <c r="G450">
        <v>3</v>
      </c>
      <c r="H450" t="s">
        <v>4</v>
      </c>
      <c r="I450" t="s">
        <v>5</v>
      </c>
      <c r="J450" t="s">
        <v>6</v>
      </c>
      <c r="K450">
        <v>48042380</v>
      </c>
      <c r="L450">
        <v>70116</v>
      </c>
      <c r="M450">
        <v>53295</v>
      </c>
      <c r="N450" t="s">
        <v>7</v>
      </c>
      <c r="O450">
        <v>692027.05</v>
      </c>
      <c r="P450" t="s">
        <v>319</v>
      </c>
      <c r="Q450" t="s">
        <v>8</v>
      </c>
      <c r="R450">
        <v>128207073</v>
      </c>
      <c r="S450">
        <v>128207073</v>
      </c>
      <c r="T450">
        <v>128207073</v>
      </c>
      <c r="U450" t="s">
        <v>320</v>
      </c>
      <c r="V450" t="s">
        <v>321</v>
      </c>
    </row>
    <row r="451" spans="1:22" x14ac:dyDescent="0.25">
      <c r="A451">
        <v>41448009557</v>
      </c>
      <c r="B451" t="s">
        <v>10</v>
      </c>
      <c r="C451" t="s">
        <v>193</v>
      </c>
      <c r="D451">
        <v>41448009557</v>
      </c>
      <c r="E451" s="1">
        <v>46204.791159270833</v>
      </c>
      <c r="F451">
        <v>115</v>
      </c>
      <c r="G451">
        <v>3</v>
      </c>
      <c r="H451" t="s">
        <v>4</v>
      </c>
      <c r="I451" t="s">
        <v>5</v>
      </c>
      <c r="J451" t="s">
        <v>6</v>
      </c>
      <c r="K451">
        <v>43157337</v>
      </c>
      <c r="L451">
        <v>608456</v>
      </c>
      <c r="M451">
        <v>10000</v>
      </c>
      <c r="N451" t="s">
        <v>7</v>
      </c>
      <c r="O451">
        <v>128647.09</v>
      </c>
      <c r="P451" t="s">
        <v>195</v>
      </c>
      <c r="Q451" t="s">
        <v>11</v>
      </c>
      <c r="R451">
        <v>117999755</v>
      </c>
      <c r="S451">
        <v>117999755</v>
      </c>
      <c r="T451">
        <v>117999755</v>
      </c>
      <c r="U451" t="s">
        <v>196</v>
      </c>
      <c r="V451" t="s">
        <v>9</v>
      </c>
    </row>
    <row r="452" spans="1:22" x14ac:dyDescent="0.25">
      <c r="A452">
        <v>41447927653</v>
      </c>
      <c r="B452" t="s">
        <v>10</v>
      </c>
      <c r="C452" t="s">
        <v>193</v>
      </c>
      <c r="D452">
        <v>41447927653</v>
      </c>
      <c r="E452" s="1">
        <v>46204.759448182871</v>
      </c>
      <c r="F452">
        <v>115</v>
      </c>
      <c r="G452">
        <v>3</v>
      </c>
      <c r="H452" t="s">
        <v>4</v>
      </c>
      <c r="I452" t="s">
        <v>5</v>
      </c>
      <c r="J452" t="s">
        <v>6</v>
      </c>
      <c r="K452">
        <v>56183501</v>
      </c>
      <c r="L452">
        <v>600155</v>
      </c>
      <c r="M452">
        <v>100000</v>
      </c>
      <c r="N452" t="s">
        <v>7</v>
      </c>
      <c r="O452">
        <v>1286470.56</v>
      </c>
      <c r="P452" t="s">
        <v>50</v>
      </c>
      <c r="Q452" t="s">
        <v>8</v>
      </c>
      <c r="R452">
        <v>113570774</v>
      </c>
      <c r="S452">
        <v>113570774</v>
      </c>
      <c r="T452">
        <v>113570774</v>
      </c>
      <c r="U452" t="s">
        <v>51</v>
      </c>
      <c r="V452" t="s">
        <v>52</v>
      </c>
    </row>
    <row r="453" spans="1:22" x14ac:dyDescent="0.25">
      <c r="A453">
        <v>41447679199</v>
      </c>
      <c r="B453" t="s">
        <v>10</v>
      </c>
      <c r="C453" t="s">
        <v>193</v>
      </c>
      <c r="D453">
        <v>41447679199</v>
      </c>
      <c r="E453" s="1">
        <v>46204.67572190972</v>
      </c>
      <c r="F453">
        <v>115</v>
      </c>
      <c r="G453">
        <v>3</v>
      </c>
      <c r="H453" t="s">
        <v>4</v>
      </c>
      <c r="I453" t="s">
        <v>5</v>
      </c>
      <c r="J453" t="s">
        <v>6</v>
      </c>
      <c r="K453">
        <v>9204083</v>
      </c>
      <c r="L453">
        <v>40075</v>
      </c>
      <c r="M453">
        <v>50000</v>
      </c>
      <c r="N453" t="s">
        <v>7</v>
      </c>
      <c r="O453">
        <v>643235.32999999996</v>
      </c>
      <c r="P453" t="s">
        <v>53</v>
      </c>
      <c r="Q453" t="s">
        <v>8</v>
      </c>
      <c r="R453">
        <v>142592674</v>
      </c>
      <c r="S453">
        <v>142592674</v>
      </c>
      <c r="T453">
        <v>142592674</v>
      </c>
      <c r="U453" t="s">
        <v>54</v>
      </c>
      <c r="V453" t="s">
        <v>15</v>
      </c>
    </row>
    <row r="454" spans="1:22" x14ac:dyDescent="0.25">
      <c r="A454">
        <v>41447499790</v>
      </c>
      <c r="B454" t="s">
        <v>2</v>
      </c>
      <c r="C454" t="s">
        <v>193</v>
      </c>
      <c r="D454">
        <v>41447499790</v>
      </c>
      <c r="E454" s="1">
        <v>46204.618747534725</v>
      </c>
      <c r="F454">
        <v>115</v>
      </c>
      <c r="G454">
        <v>3</v>
      </c>
      <c r="H454" t="s">
        <v>29</v>
      </c>
      <c r="I454" t="s">
        <v>5</v>
      </c>
      <c r="J454" t="s">
        <v>6</v>
      </c>
      <c r="K454">
        <v>23901216</v>
      </c>
      <c r="L454">
        <v>406377</v>
      </c>
      <c r="M454">
        <v>61286.07</v>
      </c>
      <c r="N454" t="s">
        <v>7</v>
      </c>
      <c r="O454">
        <v>788427.31</v>
      </c>
      <c r="P454" t="s">
        <v>30</v>
      </c>
      <c r="Q454" t="s">
        <v>8</v>
      </c>
      <c r="R454">
        <v>119309359</v>
      </c>
      <c r="S454">
        <v>119309359</v>
      </c>
      <c r="T454">
        <v>119309359</v>
      </c>
      <c r="U454" t="s">
        <v>31</v>
      </c>
      <c r="V454" t="s">
        <v>9</v>
      </c>
    </row>
    <row r="455" spans="1:22" x14ac:dyDescent="0.25">
      <c r="A455">
        <v>41447332030</v>
      </c>
      <c r="B455" t="s">
        <v>10</v>
      </c>
      <c r="C455" t="s">
        <v>193</v>
      </c>
      <c r="D455">
        <v>41447332030</v>
      </c>
      <c r="E455" s="1">
        <v>46204.565191712965</v>
      </c>
      <c r="F455">
        <v>115</v>
      </c>
      <c r="G455">
        <v>3</v>
      </c>
      <c r="H455" t="s">
        <v>4</v>
      </c>
      <c r="I455" t="s">
        <v>5</v>
      </c>
      <c r="J455" t="s">
        <v>6</v>
      </c>
      <c r="K455">
        <v>9204083</v>
      </c>
      <c r="L455">
        <v>40075</v>
      </c>
      <c r="M455">
        <v>50000</v>
      </c>
      <c r="N455" t="s">
        <v>7</v>
      </c>
      <c r="O455">
        <v>643235.32999999996</v>
      </c>
      <c r="P455" t="s">
        <v>53</v>
      </c>
      <c r="Q455" t="s">
        <v>8</v>
      </c>
      <c r="R455">
        <v>142592674</v>
      </c>
      <c r="S455">
        <v>142592674</v>
      </c>
      <c r="T455">
        <v>142592674</v>
      </c>
      <c r="U455" t="s">
        <v>54</v>
      </c>
      <c r="V455" t="s">
        <v>15</v>
      </c>
    </row>
    <row r="456" spans="1:22" x14ac:dyDescent="0.25">
      <c r="A456">
        <v>41447338345</v>
      </c>
      <c r="B456" t="s">
        <v>2</v>
      </c>
      <c r="C456" t="s">
        <v>193</v>
      </c>
      <c r="D456">
        <v>41447338345</v>
      </c>
      <c r="E456" s="1">
        <v>46204.567366400464</v>
      </c>
      <c r="F456">
        <v>115</v>
      </c>
      <c r="G456">
        <v>3</v>
      </c>
      <c r="H456" t="s">
        <v>4</v>
      </c>
      <c r="I456" t="s">
        <v>5</v>
      </c>
      <c r="J456" t="s">
        <v>6</v>
      </c>
      <c r="K456">
        <v>42272574</v>
      </c>
      <c r="L456">
        <v>406437</v>
      </c>
      <c r="M456">
        <v>30143.03</v>
      </c>
      <c r="N456" t="s">
        <v>7</v>
      </c>
      <c r="O456">
        <v>387781.2</v>
      </c>
      <c r="P456" t="s">
        <v>32</v>
      </c>
      <c r="Q456" t="s">
        <v>8</v>
      </c>
      <c r="R456">
        <v>119309359</v>
      </c>
      <c r="S456">
        <v>119309359</v>
      </c>
      <c r="T456">
        <v>119309359</v>
      </c>
      <c r="U456" t="s">
        <v>31</v>
      </c>
      <c r="V456" t="s">
        <v>9</v>
      </c>
    </row>
    <row r="457" spans="1:22" x14ac:dyDescent="0.25">
      <c r="A457">
        <v>41447336274</v>
      </c>
      <c r="B457" t="s">
        <v>2</v>
      </c>
      <c r="C457" t="s">
        <v>193</v>
      </c>
      <c r="D457">
        <v>41447336274</v>
      </c>
      <c r="E457" s="1">
        <v>46204.566646631945</v>
      </c>
      <c r="F457">
        <v>115</v>
      </c>
      <c r="G457">
        <v>3</v>
      </c>
      <c r="H457" t="s">
        <v>4</v>
      </c>
      <c r="I457" t="s">
        <v>5</v>
      </c>
      <c r="J457" t="s">
        <v>6</v>
      </c>
      <c r="K457">
        <v>81595468</v>
      </c>
      <c r="L457">
        <v>406437</v>
      </c>
      <c r="M457">
        <v>30143.01</v>
      </c>
      <c r="N457" t="s">
        <v>7</v>
      </c>
      <c r="O457">
        <v>387781.01</v>
      </c>
      <c r="P457" t="s">
        <v>33</v>
      </c>
      <c r="Q457" t="s">
        <v>8</v>
      </c>
      <c r="R457">
        <v>119309359</v>
      </c>
      <c r="S457">
        <v>119309359</v>
      </c>
      <c r="T457">
        <v>119309359</v>
      </c>
      <c r="U457" t="s">
        <v>31</v>
      </c>
      <c r="V457" t="s">
        <v>9</v>
      </c>
    </row>
    <row r="458" spans="1:22" x14ac:dyDescent="0.25">
      <c r="A458">
        <v>41447027134</v>
      </c>
      <c r="B458" t="s">
        <v>10</v>
      </c>
      <c r="C458" t="s">
        <v>193</v>
      </c>
      <c r="D458">
        <v>41447027134</v>
      </c>
      <c r="E458" s="1">
        <v>46204.472794525464</v>
      </c>
      <c r="F458">
        <v>115</v>
      </c>
      <c r="G458">
        <v>3</v>
      </c>
      <c r="H458" t="s">
        <v>4</v>
      </c>
      <c r="I458" t="s">
        <v>5</v>
      </c>
      <c r="J458" t="s">
        <v>6</v>
      </c>
      <c r="K458">
        <v>3248836</v>
      </c>
      <c r="L458">
        <v>180002</v>
      </c>
      <c r="M458">
        <v>10500</v>
      </c>
      <c r="N458" t="s">
        <v>7</v>
      </c>
      <c r="O458">
        <v>135079.39000000001</v>
      </c>
      <c r="P458" t="s">
        <v>197</v>
      </c>
      <c r="Q458" t="s">
        <v>11</v>
      </c>
      <c r="R458">
        <v>89501191</v>
      </c>
      <c r="S458">
        <v>89501191</v>
      </c>
      <c r="T458">
        <v>89501191</v>
      </c>
      <c r="U458" t="s">
        <v>198</v>
      </c>
      <c r="V458" t="s">
        <v>9</v>
      </c>
    </row>
    <row r="459" spans="1:22" x14ac:dyDescent="0.25">
      <c r="A459">
        <v>41447045903</v>
      </c>
      <c r="B459" t="s">
        <v>10</v>
      </c>
      <c r="C459" t="s">
        <v>193</v>
      </c>
      <c r="D459">
        <v>41447045903</v>
      </c>
      <c r="E459" s="1">
        <v>46204.478944918985</v>
      </c>
      <c r="F459">
        <v>86</v>
      </c>
      <c r="G459">
        <v>3</v>
      </c>
      <c r="H459" t="s">
        <v>150</v>
      </c>
      <c r="I459" t="s">
        <v>151</v>
      </c>
      <c r="J459" t="s">
        <v>6</v>
      </c>
      <c r="K459">
        <v>82132121340001</v>
      </c>
      <c r="L459" t="s">
        <v>26</v>
      </c>
      <c r="M459">
        <v>1200000</v>
      </c>
      <c r="N459" t="s">
        <v>7</v>
      </c>
      <c r="O459">
        <v>15437647.35</v>
      </c>
      <c r="P459" t="s">
        <v>152</v>
      </c>
      <c r="Q459" t="s">
        <v>8</v>
      </c>
      <c r="R459">
        <v>115262164</v>
      </c>
      <c r="S459">
        <v>115262164</v>
      </c>
      <c r="T459">
        <v>115262164</v>
      </c>
      <c r="U459" t="s">
        <v>153</v>
      </c>
      <c r="V459" t="s">
        <v>9</v>
      </c>
    </row>
    <row r="460" spans="1:22" x14ac:dyDescent="0.25">
      <c r="A460">
        <v>41446882692</v>
      </c>
      <c r="B460" t="s">
        <v>10</v>
      </c>
      <c r="C460" t="s">
        <v>193</v>
      </c>
      <c r="D460">
        <v>41446882692</v>
      </c>
      <c r="E460" s="1">
        <v>46204.422545300928</v>
      </c>
      <c r="F460">
        <v>115</v>
      </c>
      <c r="G460">
        <v>3</v>
      </c>
      <c r="H460" t="s">
        <v>199</v>
      </c>
      <c r="I460" t="s">
        <v>5</v>
      </c>
      <c r="J460" t="s">
        <v>6</v>
      </c>
      <c r="K460">
        <v>79912494</v>
      </c>
      <c r="L460">
        <v>517017</v>
      </c>
      <c r="M460">
        <v>10000</v>
      </c>
      <c r="N460" t="s">
        <v>7</v>
      </c>
      <c r="O460">
        <v>128647.09</v>
      </c>
      <c r="P460" t="s">
        <v>200</v>
      </c>
      <c r="Q460" t="s">
        <v>8</v>
      </c>
      <c r="R460">
        <v>145221800</v>
      </c>
      <c r="S460">
        <v>145221800</v>
      </c>
      <c r="T460">
        <v>145221800</v>
      </c>
      <c r="U460" t="s">
        <v>201</v>
      </c>
      <c r="V460" t="s">
        <v>15</v>
      </c>
    </row>
    <row r="461" spans="1:22" x14ac:dyDescent="0.25">
      <c r="A461">
        <v>41446946687</v>
      </c>
      <c r="B461" t="s">
        <v>10</v>
      </c>
      <c r="C461" t="s">
        <v>193</v>
      </c>
      <c r="D461">
        <v>41446946687</v>
      </c>
      <c r="E461" s="1">
        <v>46204.446696261577</v>
      </c>
      <c r="F461">
        <v>69</v>
      </c>
      <c r="G461">
        <v>3</v>
      </c>
      <c r="H461" t="s">
        <v>4</v>
      </c>
      <c r="I461" t="s">
        <v>5</v>
      </c>
      <c r="J461" t="s">
        <v>6</v>
      </c>
      <c r="K461">
        <v>80432571</v>
      </c>
      <c r="L461">
        <v>200771</v>
      </c>
      <c r="M461">
        <v>320000</v>
      </c>
      <c r="N461" t="s">
        <v>7</v>
      </c>
      <c r="O461">
        <v>4116705.96</v>
      </c>
      <c r="P461" t="s">
        <v>129</v>
      </c>
      <c r="Q461" t="s">
        <v>8</v>
      </c>
      <c r="R461">
        <v>88738513</v>
      </c>
      <c r="S461">
        <v>88738513</v>
      </c>
      <c r="T461">
        <v>88738513</v>
      </c>
      <c r="U461" t="s">
        <v>126</v>
      </c>
      <c r="V461" t="s">
        <v>15</v>
      </c>
    </row>
    <row r="462" spans="1:22" x14ac:dyDescent="0.25">
      <c r="A462">
        <v>41446939640</v>
      </c>
      <c r="B462" t="s">
        <v>10</v>
      </c>
      <c r="C462" t="s">
        <v>193</v>
      </c>
      <c r="D462">
        <v>41446939640</v>
      </c>
      <c r="E462" s="1">
        <v>46204.443933437498</v>
      </c>
      <c r="F462">
        <v>69</v>
      </c>
      <c r="G462">
        <v>3</v>
      </c>
      <c r="H462" t="s">
        <v>4</v>
      </c>
      <c r="I462" t="s">
        <v>5</v>
      </c>
      <c r="J462" t="s">
        <v>6</v>
      </c>
      <c r="K462">
        <v>80432571</v>
      </c>
      <c r="L462">
        <v>200771</v>
      </c>
      <c r="M462">
        <v>1500000</v>
      </c>
      <c r="N462" t="s">
        <v>7</v>
      </c>
      <c r="O462">
        <v>19297059.140000001</v>
      </c>
      <c r="P462" t="s">
        <v>36</v>
      </c>
      <c r="Q462" t="s">
        <v>8</v>
      </c>
      <c r="R462">
        <v>88738513</v>
      </c>
      <c r="S462">
        <v>88738513</v>
      </c>
      <c r="T462">
        <v>88738513</v>
      </c>
      <c r="U462" t="s">
        <v>126</v>
      </c>
      <c r="V462" t="s">
        <v>15</v>
      </c>
    </row>
    <row r="463" spans="1:22" x14ac:dyDescent="0.25">
      <c r="A463">
        <v>41446856066</v>
      </c>
      <c r="B463" t="s">
        <v>10</v>
      </c>
      <c r="C463" t="s">
        <v>193</v>
      </c>
      <c r="D463">
        <v>41446856066</v>
      </c>
      <c r="E463" s="1">
        <v>46204.41188417824</v>
      </c>
      <c r="F463">
        <v>115</v>
      </c>
      <c r="G463">
        <v>3</v>
      </c>
      <c r="H463" t="s">
        <v>4</v>
      </c>
      <c r="I463" t="s">
        <v>5</v>
      </c>
      <c r="J463" t="s">
        <v>6</v>
      </c>
      <c r="K463">
        <v>40505315</v>
      </c>
      <c r="L463">
        <v>201053</v>
      </c>
      <c r="M463">
        <v>20000</v>
      </c>
      <c r="N463" t="s">
        <v>7</v>
      </c>
      <c r="O463">
        <v>257294.07</v>
      </c>
      <c r="P463" t="s">
        <v>44</v>
      </c>
      <c r="Q463" t="s">
        <v>11</v>
      </c>
      <c r="R463">
        <v>98158389</v>
      </c>
      <c r="S463">
        <v>98158389</v>
      </c>
      <c r="T463">
        <v>98158389</v>
      </c>
      <c r="U463" t="s">
        <v>202</v>
      </c>
      <c r="V463" t="s">
        <v>9</v>
      </c>
    </row>
    <row r="464" spans="1:22" x14ac:dyDescent="0.25">
      <c r="A464">
        <v>41446618157</v>
      </c>
      <c r="B464" t="s">
        <v>10</v>
      </c>
      <c r="C464" t="s">
        <v>193</v>
      </c>
      <c r="D464">
        <v>41446618157</v>
      </c>
      <c r="E464" s="1">
        <v>46204.277276319444</v>
      </c>
      <c r="F464">
        <v>115</v>
      </c>
      <c r="G464">
        <v>3</v>
      </c>
      <c r="H464" t="s">
        <v>4</v>
      </c>
      <c r="I464" t="s">
        <v>5</v>
      </c>
      <c r="J464" t="s">
        <v>6</v>
      </c>
      <c r="K464">
        <v>10779032</v>
      </c>
      <c r="L464">
        <v>201854</v>
      </c>
      <c r="M464">
        <v>50000</v>
      </c>
      <c r="N464" t="s">
        <v>7</v>
      </c>
      <c r="O464">
        <v>643235.32999999996</v>
      </c>
      <c r="P464" t="s">
        <v>55</v>
      </c>
      <c r="Q464" t="s">
        <v>8</v>
      </c>
      <c r="R464">
        <v>142592674</v>
      </c>
      <c r="S464">
        <v>142592674</v>
      </c>
      <c r="T464">
        <v>142592674</v>
      </c>
      <c r="U464" t="s">
        <v>54</v>
      </c>
      <c r="V464" t="s">
        <v>15</v>
      </c>
    </row>
    <row r="465" spans="1:22" x14ac:dyDescent="0.25">
      <c r="A465">
        <v>41449900442</v>
      </c>
      <c r="B465" t="s">
        <v>10</v>
      </c>
      <c r="C465" t="s">
        <v>193</v>
      </c>
      <c r="D465">
        <v>41449900442</v>
      </c>
      <c r="E465" s="1">
        <v>46205.823843437502</v>
      </c>
      <c r="F465">
        <v>115</v>
      </c>
      <c r="G465">
        <v>3</v>
      </c>
      <c r="H465" t="s">
        <v>4</v>
      </c>
      <c r="I465" t="s">
        <v>5</v>
      </c>
      <c r="J465" t="s">
        <v>6</v>
      </c>
      <c r="K465">
        <v>50604895</v>
      </c>
      <c r="L465">
        <v>204673</v>
      </c>
      <c r="M465">
        <v>25000</v>
      </c>
      <c r="N465" t="s">
        <v>7</v>
      </c>
      <c r="O465">
        <v>322637.40999999997</v>
      </c>
      <c r="P465" t="s">
        <v>56</v>
      </c>
      <c r="Q465" t="s">
        <v>8</v>
      </c>
      <c r="R465">
        <v>148159213</v>
      </c>
      <c r="S465">
        <v>148159213</v>
      </c>
      <c r="T465">
        <v>148159213</v>
      </c>
      <c r="U465" t="s">
        <v>57</v>
      </c>
      <c r="V465" t="s">
        <v>9</v>
      </c>
    </row>
    <row r="466" spans="1:22" x14ac:dyDescent="0.25">
      <c r="A466">
        <v>41449578507</v>
      </c>
      <c r="B466" t="s">
        <v>10</v>
      </c>
      <c r="C466" t="s">
        <v>193</v>
      </c>
      <c r="D466">
        <v>41449578507</v>
      </c>
      <c r="E466" s="1">
        <v>46205.701892407407</v>
      </c>
      <c r="F466">
        <v>115</v>
      </c>
      <c r="G466">
        <v>3</v>
      </c>
      <c r="H466" t="s">
        <v>4</v>
      </c>
      <c r="I466" t="s">
        <v>5</v>
      </c>
      <c r="J466" t="s">
        <v>6</v>
      </c>
      <c r="K466">
        <v>61658919</v>
      </c>
      <c r="L466">
        <v>406437</v>
      </c>
      <c r="M466">
        <v>90000</v>
      </c>
      <c r="N466" t="s">
        <v>7</v>
      </c>
      <c r="O466">
        <v>1161494.57</v>
      </c>
      <c r="P466" t="s">
        <v>58</v>
      </c>
      <c r="Q466" t="s">
        <v>8</v>
      </c>
      <c r="R466">
        <v>86816444</v>
      </c>
      <c r="S466">
        <v>86816444</v>
      </c>
      <c r="T466">
        <v>86816444</v>
      </c>
      <c r="U466" t="s">
        <v>59</v>
      </c>
      <c r="V466" t="s">
        <v>9</v>
      </c>
    </row>
    <row r="467" spans="1:22" x14ac:dyDescent="0.25">
      <c r="A467">
        <v>41449008948</v>
      </c>
      <c r="B467" t="s">
        <v>10</v>
      </c>
      <c r="C467" t="s">
        <v>193</v>
      </c>
      <c r="D467">
        <v>41449008948</v>
      </c>
      <c r="E467" s="1">
        <v>46205.52361358796</v>
      </c>
      <c r="F467">
        <v>69</v>
      </c>
      <c r="G467">
        <v>3</v>
      </c>
      <c r="H467" t="s">
        <v>4</v>
      </c>
      <c r="I467" t="s">
        <v>5</v>
      </c>
      <c r="J467" t="s">
        <v>6</v>
      </c>
      <c r="K467">
        <v>9204083</v>
      </c>
      <c r="L467">
        <v>40075</v>
      </c>
      <c r="M467">
        <v>340000</v>
      </c>
      <c r="N467" t="s">
        <v>7</v>
      </c>
      <c r="O467">
        <v>4387868.55</v>
      </c>
      <c r="P467" t="s">
        <v>160</v>
      </c>
      <c r="Q467" t="s">
        <v>8</v>
      </c>
      <c r="R467">
        <v>142592674</v>
      </c>
      <c r="S467">
        <v>142592674</v>
      </c>
      <c r="T467">
        <v>142592674</v>
      </c>
      <c r="U467" t="s">
        <v>54</v>
      </c>
      <c r="V467" t="s">
        <v>15</v>
      </c>
    </row>
    <row r="468" spans="1:22" x14ac:dyDescent="0.25">
      <c r="A468">
        <v>41448904578</v>
      </c>
      <c r="B468" t="s">
        <v>10</v>
      </c>
      <c r="C468" t="s">
        <v>193</v>
      </c>
      <c r="D468">
        <v>41448904578</v>
      </c>
      <c r="E468" s="1">
        <v>46205.489633194447</v>
      </c>
      <c r="F468">
        <v>115</v>
      </c>
      <c r="G468">
        <v>3</v>
      </c>
      <c r="H468" t="s">
        <v>4</v>
      </c>
      <c r="I468" t="s">
        <v>5</v>
      </c>
      <c r="J468" t="s">
        <v>6</v>
      </c>
      <c r="K468">
        <v>43157337</v>
      </c>
      <c r="L468">
        <v>608456</v>
      </c>
      <c r="M468">
        <v>20000</v>
      </c>
      <c r="N468" t="s">
        <v>7</v>
      </c>
      <c r="O468">
        <v>258109.93</v>
      </c>
      <c r="P468" t="s">
        <v>195</v>
      </c>
      <c r="Q468" t="s">
        <v>11</v>
      </c>
      <c r="R468">
        <v>117999755</v>
      </c>
      <c r="S468">
        <v>117999755</v>
      </c>
      <c r="T468">
        <v>117999755</v>
      </c>
      <c r="U468" t="s">
        <v>196</v>
      </c>
      <c r="V468" t="s">
        <v>9</v>
      </c>
    </row>
    <row r="469" spans="1:22" x14ac:dyDescent="0.25">
      <c r="A469">
        <v>41448593472</v>
      </c>
      <c r="B469" t="s">
        <v>2</v>
      </c>
      <c r="C469" t="s">
        <v>193</v>
      </c>
      <c r="D469">
        <v>41448593472</v>
      </c>
      <c r="E469" s="1">
        <v>46205.373878738428</v>
      </c>
      <c r="F469">
        <v>115</v>
      </c>
      <c r="G469">
        <v>3</v>
      </c>
      <c r="H469" t="s">
        <v>4</v>
      </c>
      <c r="I469" t="s">
        <v>5</v>
      </c>
      <c r="J469" t="s">
        <v>6</v>
      </c>
      <c r="K469">
        <v>9204083</v>
      </c>
      <c r="L469">
        <v>40075</v>
      </c>
      <c r="M469">
        <v>50000</v>
      </c>
      <c r="N469" t="s">
        <v>7</v>
      </c>
      <c r="O469">
        <v>645274.81999999995</v>
      </c>
      <c r="P469" t="s">
        <v>53</v>
      </c>
      <c r="Q469" t="s">
        <v>8</v>
      </c>
      <c r="R469">
        <v>142592674</v>
      </c>
      <c r="S469">
        <v>142592674</v>
      </c>
      <c r="T469">
        <v>142592674</v>
      </c>
      <c r="U469" t="s">
        <v>54</v>
      </c>
      <c r="V469" t="s">
        <v>15</v>
      </c>
    </row>
    <row r="470" spans="1:22" x14ac:dyDescent="0.25">
      <c r="A470">
        <v>41451779027</v>
      </c>
      <c r="B470" t="s">
        <v>10</v>
      </c>
      <c r="C470" t="s">
        <v>193</v>
      </c>
      <c r="D470">
        <v>41451779027</v>
      </c>
      <c r="E470" s="1">
        <v>46206.854324143518</v>
      </c>
      <c r="F470">
        <v>115</v>
      </c>
      <c r="G470">
        <v>3</v>
      </c>
      <c r="H470" t="s">
        <v>4</v>
      </c>
      <c r="I470" t="s">
        <v>5</v>
      </c>
      <c r="J470" t="s">
        <v>6</v>
      </c>
      <c r="K470">
        <v>20881107</v>
      </c>
      <c r="L470">
        <v>236247</v>
      </c>
      <c r="M470">
        <v>100000</v>
      </c>
      <c r="N470" t="s">
        <v>7</v>
      </c>
      <c r="O470">
        <v>1290549.53</v>
      </c>
      <c r="P470" t="s">
        <v>36</v>
      </c>
      <c r="Q470" t="s">
        <v>8</v>
      </c>
      <c r="R470">
        <v>127621456</v>
      </c>
      <c r="S470">
        <v>127621456</v>
      </c>
      <c r="T470">
        <v>127621456</v>
      </c>
      <c r="U470" t="s">
        <v>60</v>
      </c>
      <c r="V470" t="s">
        <v>9</v>
      </c>
    </row>
    <row r="471" spans="1:22" x14ac:dyDescent="0.25">
      <c r="A471">
        <v>41451344908</v>
      </c>
      <c r="B471" t="s">
        <v>10</v>
      </c>
      <c r="C471" t="s">
        <v>193</v>
      </c>
      <c r="D471">
        <v>41451344908</v>
      </c>
      <c r="E471" s="1">
        <v>46206.679814247684</v>
      </c>
      <c r="F471">
        <v>115</v>
      </c>
      <c r="G471">
        <v>3</v>
      </c>
      <c r="H471" t="s">
        <v>4</v>
      </c>
      <c r="I471" t="s">
        <v>5</v>
      </c>
      <c r="J471" t="s">
        <v>6</v>
      </c>
      <c r="K471">
        <v>16281625</v>
      </c>
      <c r="L471">
        <v>608407</v>
      </c>
      <c r="M471">
        <v>100000</v>
      </c>
      <c r="N471" t="s">
        <v>7</v>
      </c>
      <c r="O471">
        <v>1290549.53</v>
      </c>
      <c r="P471" t="s">
        <v>61</v>
      </c>
      <c r="Q471" t="s">
        <v>8</v>
      </c>
      <c r="R471">
        <v>128533080</v>
      </c>
      <c r="S471">
        <v>128533080</v>
      </c>
      <c r="T471">
        <v>128533080</v>
      </c>
      <c r="U471" t="s">
        <v>62</v>
      </c>
      <c r="V471" t="s">
        <v>63</v>
      </c>
    </row>
    <row r="472" spans="1:22" x14ac:dyDescent="0.25">
      <c r="A472">
        <v>41451349515</v>
      </c>
      <c r="B472" t="s">
        <v>2</v>
      </c>
      <c r="C472" t="s">
        <v>193</v>
      </c>
      <c r="D472">
        <v>41451349515</v>
      </c>
      <c r="E472" s="1">
        <v>46206.681241840277</v>
      </c>
      <c r="F472">
        <v>115</v>
      </c>
      <c r="G472">
        <v>3</v>
      </c>
      <c r="H472" t="s">
        <v>4</v>
      </c>
      <c r="I472" t="s">
        <v>5</v>
      </c>
      <c r="J472" t="s">
        <v>6</v>
      </c>
      <c r="K472">
        <v>16281625</v>
      </c>
      <c r="L472">
        <v>608407</v>
      </c>
      <c r="M472">
        <v>50000</v>
      </c>
      <c r="N472" t="s">
        <v>7</v>
      </c>
      <c r="O472">
        <v>645274.81999999995</v>
      </c>
      <c r="P472" t="s">
        <v>61</v>
      </c>
      <c r="Q472" t="s">
        <v>8</v>
      </c>
      <c r="R472">
        <v>128533080</v>
      </c>
      <c r="S472">
        <v>128533080</v>
      </c>
      <c r="T472">
        <v>128533080</v>
      </c>
      <c r="U472" t="s">
        <v>62</v>
      </c>
      <c r="V472" t="s">
        <v>63</v>
      </c>
    </row>
    <row r="473" spans="1:22" x14ac:dyDescent="0.25">
      <c r="A473">
        <v>41451347753</v>
      </c>
      <c r="B473" t="s">
        <v>2</v>
      </c>
      <c r="C473" t="s">
        <v>193</v>
      </c>
      <c r="D473">
        <v>41451347753</v>
      </c>
      <c r="E473" s="1">
        <v>46206.680642743057</v>
      </c>
      <c r="F473">
        <v>115</v>
      </c>
      <c r="G473">
        <v>3</v>
      </c>
      <c r="H473" t="s">
        <v>4</v>
      </c>
      <c r="I473" t="s">
        <v>5</v>
      </c>
      <c r="J473" t="s">
        <v>6</v>
      </c>
      <c r="K473">
        <v>16281625</v>
      </c>
      <c r="L473">
        <v>608407</v>
      </c>
      <c r="M473">
        <v>100000</v>
      </c>
      <c r="N473" t="s">
        <v>7</v>
      </c>
      <c r="O473">
        <v>1290549.53</v>
      </c>
      <c r="P473" t="s">
        <v>61</v>
      </c>
      <c r="Q473" t="s">
        <v>8</v>
      </c>
      <c r="R473">
        <v>128533080</v>
      </c>
      <c r="S473">
        <v>128533080</v>
      </c>
      <c r="T473">
        <v>128533080</v>
      </c>
      <c r="U473" t="s">
        <v>62</v>
      </c>
      <c r="V473" t="s">
        <v>63</v>
      </c>
    </row>
    <row r="474" spans="1:22" x14ac:dyDescent="0.25">
      <c r="A474">
        <v>41451241623</v>
      </c>
      <c r="B474" t="s">
        <v>10</v>
      </c>
      <c r="C474" t="s">
        <v>193</v>
      </c>
      <c r="D474">
        <v>41451241623</v>
      </c>
      <c r="E474" s="1">
        <v>46206.647496817131</v>
      </c>
      <c r="F474">
        <v>115</v>
      </c>
      <c r="G474">
        <v>3</v>
      </c>
      <c r="H474" t="s">
        <v>4</v>
      </c>
      <c r="I474" t="s">
        <v>5</v>
      </c>
      <c r="J474" t="s">
        <v>6</v>
      </c>
      <c r="K474">
        <v>16281625</v>
      </c>
      <c r="L474">
        <v>608407</v>
      </c>
      <c r="M474">
        <v>100000</v>
      </c>
      <c r="N474" t="s">
        <v>7</v>
      </c>
      <c r="O474">
        <v>1290549.53</v>
      </c>
      <c r="P474" t="s">
        <v>61</v>
      </c>
      <c r="Q474" t="s">
        <v>8</v>
      </c>
      <c r="R474">
        <v>128533080</v>
      </c>
      <c r="S474">
        <v>128533080</v>
      </c>
      <c r="T474">
        <v>128533080</v>
      </c>
      <c r="U474" t="s">
        <v>62</v>
      </c>
      <c r="V474" t="s">
        <v>63</v>
      </c>
    </row>
    <row r="475" spans="1:22" x14ac:dyDescent="0.25">
      <c r="A475">
        <v>41451187210</v>
      </c>
      <c r="B475" t="s">
        <v>10</v>
      </c>
      <c r="C475" t="s">
        <v>193</v>
      </c>
      <c r="D475">
        <v>41451187210</v>
      </c>
      <c r="E475" s="1">
        <v>46206.630490891206</v>
      </c>
      <c r="F475">
        <v>115</v>
      </c>
      <c r="G475">
        <v>3</v>
      </c>
      <c r="H475" t="s">
        <v>4</v>
      </c>
      <c r="I475" t="s">
        <v>5</v>
      </c>
      <c r="J475" t="s">
        <v>6</v>
      </c>
      <c r="K475">
        <v>37257</v>
      </c>
      <c r="L475">
        <v>309904</v>
      </c>
      <c r="M475">
        <v>20000</v>
      </c>
      <c r="N475" t="s">
        <v>7</v>
      </c>
      <c r="O475">
        <v>258109.93</v>
      </c>
      <c r="P475" t="s">
        <v>45</v>
      </c>
      <c r="Q475" t="s">
        <v>11</v>
      </c>
      <c r="R475">
        <v>147561047</v>
      </c>
      <c r="S475">
        <v>147561047</v>
      </c>
      <c r="T475">
        <v>147561047</v>
      </c>
      <c r="U475" t="s">
        <v>64</v>
      </c>
      <c r="V475" t="s">
        <v>9</v>
      </c>
    </row>
    <row r="476" spans="1:22" x14ac:dyDescent="0.25">
      <c r="A476">
        <v>41451007506</v>
      </c>
      <c r="B476" t="s">
        <v>10</v>
      </c>
      <c r="C476" t="s">
        <v>193</v>
      </c>
      <c r="D476">
        <v>41451007506</v>
      </c>
      <c r="E476" s="1">
        <v>46206.576404097221</v>
      </c>
      <c r="F476">
        <v>115</v>
      </c>
      <c r="G476">
        <v>3</v>
      </c>
      <c r="H476" t="s">
        <v>65</v>
      </c>
      <c r="I476" t="s">
        <v>5</v>
      </c>
      <c r="J476" t="s">
        <v>6</v>
      </c>
      <c r="K476">
        <v>81392166</v>
      </c>
      <c r="L476">
        <v>403108</v>
      </c>
      <c r="M476">
        <v>20000</v>
      </c>
      <c r="N476" t="s">
        <v>7</v>
      </c>
      <c r="O476">
        <v>258109.93</v>
      </c>
      <c r="P476" t="s">
        <v>66</v>
      </c>
      <c r="Q476" t="s">
        <v>11</v>
      </c>
      <c r="R476">
        <v>110038171</v>
      </c>
      <c r="S476">
        <v>110038171</v>
      </c>
      <c r="T476">
        <v>110038171</v>
      </c>
      <c r="U476" t="s">
        <v>67</v>
      </c>
      <c r="V476" t="s">
        <v>9</v>
      </c>
    </row>
    <row r="477" spans="1:22" x14ac:dyDescent="0.25">
      <c r="A477">
        <v>41450847459</v>
      </c>
      <c r="B477" t="s">
        <v>10</v>
      </c>
      <c r="C477" t="s">
        <v>193</v>
      </c>
      <c r="D477">
        <v>41450847459</v>
      </c>
      <c r="E477" s="1">
        <v>46206.53277017361</v>
      </c>
      <c r="F477">
        <v>115</v>
      </c>
      <c r="G477">
        <v>3</v>
      </c>
      <c r="H477" t="s">
        <v>110</v>
      </c>
      <c r="I477" t="s">
        <v>5</v>
      </c>
      <c r="J477" t="s">
        <v>6</v>
      </c>
      <c r="K477">
        <v>37340974</v>
      </c>
      <c r="L477">
        <v>86064</v>
      </c>
      <c r="M477">
        <v>19750</v>
      </c>
      <c r="N477" t="s">
        <v>7</v>
      </c>
      <c r="O477">
        <v>254883.58</v>
      </c>
      <c r="P477" t="s">
        <v>203</v>
      </c>
      <c r="Q477" t="s">
        <v>8</v>
      </c>
      <c r="R477">
        <v>123896052</v>
      </c>
      <c r="S477">
        <v>123896052</v>
      </c>
      <c r="T477">
        <v>123896052</v>
      </c>
      <c r="U477" t="s">
        <v>204</v>
      </c>
      <c r="V477" t="s">
        <v>9</v>
      </c>
    </row>
    <row r="478" spans="1:22" x14ac:dyDescent="0.25">
      <c r="A478">
        <v>41450795129</v>
      </c>
      <c r="B478" t="s">
        <v>2</v>
      </c>
      <c r="C478" t="s">
        <v>193</v>
      </c>
      <c r="D478">
        <v>41450795129</v>
      </c>
      <c r="E478" s="1">
        <v>46206.516615960645</v>
      </c>
      <c r="F478">
        <v>115</v>
      </c>
      <c r="G478">
        <v>3</v>
      </c>
      <c r="H478" t="s">
        <v>68</v>
      </c>
      <c r="I478" t="s">
        <v>5</v>
      </c>
      <c r="J478" t="s">
        <v>6</v>
      </c>
      <c r="K478">
        <v>54606</v>
      </c>
      <c r="L478">
        <v>165760</v>
      </c>
      <c r="M478">
        <v>25000</v>
      </c>
      <c r="N478" t="s">
        <v>7</v>
      </c>
      <c r="O478">
        <v>322637.40999999997</v>
      </c>
      <c r="P478" t="s">
        <v>69</v>
      </c>
      <c r="Q478" t="s">
        <v>8</v>
      </c>
      <c r="R478">
        <v>102909595</v>
      </c>
      <c r="S478">
        <v>102909595</v>
      </c>
      <c r="T478">
        <v>102909595</v>
      </c>
      <c r="U478" t="s">
        <v>70</v>
      </c>
      <c r="V478" t="s">
        <v>9</v>
      </c>
    </row>
    <row r="479" spans="1:22" x14ac:dyDescent="0.25">
      <c r="A479">
        <v>41450493081</v>
      </c>
      <c r="B479" t="s">
        <v>10</v>
      </c>
      <c r="C479" t="s">
        <v>193</v>
      </c>
      <c r="D479">
        <v>41450493081</v>
      </c>
      <c r="E479" s="1">
        <v>46206.41441636574</v>
      </c>
      <c r="F479">
        <v>115</v>
      </c>
      <c r="G479">
        <v>3</v>
      </c>
      <c r="H479" t="s">
        <v>68</v>
      </c>
      <c r="I479" t="s">
        <v>5</v>
      </c>
      <c r="J479" t="s">
        <v>6</v>
      </c>
      <c r="K479">
        <v>54606</v>
      </c>
      <c r="L479">
        <v>165760</v>
      </c>
      <c r="M479">
        <v>100000</v>
      </c>
      <c r="N479" t="s">
        <v>7</v>
      </c>
      <c r="O479">
        <v>1290549.53</v>
      </c>
      <c r="P479" t="s">
        <v>69</v>
      </c>
      <c r="Q479" t="s">
        <v>8</v>
      </c>
      <c r="R479">
        <v>102909595</v>
      </c>
      <c r="S479">
        <v>102909595</v>
      </c>
      <c r="T479">
        <v>102909595</v>
      </c>
      <c r="U479" t="s">
        <v>70</v>
      </c>
      <c r="V479" t="s">
        <v>9</v>
      </c>
    </row>
    <row r="480" spans="1:22" x14ac:dyDescent="0.25">
      <c r="A480">
        <v>41450490464</v>
      </c>
      <c r="B480" t="s">
        <v>10</v>
      </c>
      <c r="C480" t="s">
        <v>193</v>
      </c>
      <c r="D480">
        <v>41450490464</v>
      </c>
      <c r="E480" s="1">
        <v>46206.413236064815</v>
      </c>
      <c r="F480">
        <v>115</v>
      </c>
      <c r="G480">
        <v>3</v>
      </c>
      <c r="H480" t="s">
        <v>68</v>
      </c>
      <c r="I480" t="s">
        <v>5</v>
      </c>
      <c r="J480" t="s">
        <v>6</v>
      </c>
      <c r="K480">
        <v>54606</v>
      </c>
      <c r="L480">
        <v>165760</v>
      </c>
      <c r="M480">
        <v>100000</v>
      </c>
      <c r="N480" t="s">
        <v>7</v>
      </c>
      <c r="O480">
        <v>1290549.53</v>
      </c>
      <c r="P480" t="s">
        <v>69</v>
      </c>
      <c r="Q480" t="s">
        <v>8</v>
      </c>
      <c r="R480">
        <v>102909595</v>
      </c>
      <c r="S480">
        <v>102909595</v>
      </c>
      <c r="T480">
        <v>102909595</v>
      </c>
      <c r="U480" t="s">
        <v>70</v>
      </c>
      <c r="V480" t="s">
        <v>9</v>
      </c>
    </row>
    <row r="481" spans="1:22" x14ac:dyDescent="0.25">
      <c r="A481">
        <v>41450496287</v>
      </c>
      <c r="B481" t="s">
        <v>2</v>
      </c>
      <c r="C481" t="s">
        <v>193</v>
      </c>
      <c r="D481">
        <v>41450496287</v>
      </c>
      <c r="E481" s="1">
        <v>46206.415541354167</v>
      </c>
      <c r="F481">
        <v>115</v>
      </c>
      <c r="G481">
        <v>3</v>
      </c>
      <c r="H481" t="s">
        <v>68</v>
      </c>
      <c r="I481" t="s">
        <v>5</v>
      </c>
      <c r="J481" t="s">
        <v>6</v>
      </c>
      <c r="K481">
        <v>54606</v>
      </c>
      <c r="L481">
        <v>165760</v>
      </c>
      <c r="M481">
        <v>25000</v>
      </c>
      <c r="N481" t="s">
        <v>7</v>
      </c>
      <c r="O481">
        <v>322637.40999999997</v>
      </c>
      <c r="P481" t="s">
        <v>69</v>
      </c>
      <c r="Q481" t="s">
        <v>8</v>
      </c>
      <c r="R481">
        <v>102909595</v>
      </c>
      <c r="S481">
        <v>102909595</v>
      </c>
      <c r="T481">
        <v>102909595</v>
      </c>
      <c r="U481" t="s">
        <v>70</v>
      </c>
      <c r="V481" t="s">
        <v>9</v>
      </c>
    </row>
    <row r="482" spans="1:22" x14ac:dyDescent="0.25">
      <c r="A482">
        <v>41452695603</v>
      </c>
      <c r="B482" t="s">
        <v>10</v>
      </c>
      <c r="C482" t="s">
        <v>193</v>
      </c>
      <c r="D482">
        <v>41452695603</v>
      </c>
      <c r="E482" s="1">
        <v>46207.595467465275</v>
      </c>
      <c r="F482">
        <v>115</v>
      </c>
      <c r="G482">
        <v>3</v>
      </c>
      <c r="H482" t="s">
        <v>71</v>
      </c>
      <c r="I482" t="s">
        <v>5</v>
      </c>
      <c r="J482" t="s">
        <v>6</v>
      </c>
      <c r="K482">
        <v>4124448</v>
      </c>
      <c r="L482">
        <v>542147</v>
      </c>
      <c r="M482">
        <v>20000</v>
      </c>
      <c r="N482" t="s">
        <v>7</v>
      </c>
      <c r="O482">
        <v>258109.93</v>
      </c>
      <c r="P482" t="s">
        <v>72</v>
      </c>
      <c r="Q482" t="s">
        <v>11</v>
      </c>
      <c r="R482">
        <v>126270867</v>
      </c>
      <c r="S482">
        <v>126270867</v>
      </c>
      <c r="T482">
        <v>126270867</v>
      </c>
      <c r="U482" t="s">
        <v>73</v>
      </c>
      <c r="V482" t="s">
        <v>9</v>
      </c>
    </row>
    <row r="483" spans="1:22" x14ac:dyDescent="0.25">
      <c r="A483">
        <v>41452660820</v>
      </c>
      <c r="B483" t="s">
        <v>10</v>
      </c>
      <c r="C483" t="s">
        <v>193</v>
      </c>
      <c r="D483">
        <v>41452660820</v>
      </c>
      <c r="E483" s="1">
        <v>46207.584034664353</v>
      </c>
      <c r="F483">
        <v>115</v>
      </c>
      <c r="G483">
        <v>3</v>
      </c>
      <c r="H483" t="s">
        <v>205</v>
      </c>
      <c r="I483" t="s">
        <v>5</v>
      </c>
      <c r="J483" t="s">
        <v>6</v>
      </c>
      <c r="K483">
        <v>84920843</v>
      </c>
      <c r="L483">
        <v>86119</v>
      </c>
      <c r="M483">
        <v>10000</v>
      </c>
      <c r="N483" t="s">
        <v>7</v>
      </c>
      <c r="O483">
        <v>129054.96</v>
      </c>
      <c r="P483" t="s">
        <v>206</v>
      </c>
      <c r="Q483" t="s">
        <v>11</v>
      </c>
      <c r="R483">
        <v>131654568</v>
      </c>
      <c r="S483">
        <v>131654568</v>
      </c>
      <c r="T483">
        <v>131654568</v>
      </c>
      <c r="U483" t="s">
        <v>207</v>
      </c>
      <c r="V483" t="s">
        <v>9</v>
      </c>
    </row>
    <row r="484" spans="1:22" x14ac:dyDescent="0.25">
      <c r="A484">
        <v>41452600239</v>
      </c>
      <c r="B484" t="s">
        <v>10</v>
      </c>
      <c r="C484" t="s">
        <v>193</v>
      </c>
      <c r="D484">
        <v>41452600239</v>
      </c>
      <c r="E484" s="1">
        <v>46207.564532847224</v>
      </c>
      <c r="F484">
        <v>115</v>
      </c>
      <c r="G484">
        <v>3</v>
      </c>
      <c r="H484" t="s">
        <v>74</v>
      </c>
      <c r="I484" t="s">
        <v>5</v>
      </c>
      <c r="J484" t="s">
        <v>6</v>
      </c>
      <c r="K484">
        <v>29562633</v>
      </c>
      <c r="L484">
        <v>50641</v>
      </c>
      <c r="M484">
        <v>14300</v>
      </c>
      <c r="N484" t="s">
        <v>7</v>
      </c>
      <c r="O484">
        <v>184548.55</v>
      </c>
      <c r="P484" t="s">
        <v>75</v>
      </c>
      <c r="Q484" t="s">
        <v>8</v>
      </c>
      <c r="R484">
        <v>145548483</v>
      </c>
      <c r="S484">
        <v>145548483</v>
      </c>
      <c r="T484">
        <v>145548483</v>
      </c>
      <c r="U484" t="s">
        <v>76</v>
      </c>
      <c r="V484" t="s">
        <v>9</v>
      </c>
    </row>
    <row r="485" spans="1:22" x14ac:dyDescent="0.25">
      <c r="A485">
        <v>41452201618</v>
      </c>
      <c r="B485" t="s">
        <v>10</v>
      </c>
      <c r="C485" t="s">
        <v>193</v>
      </c>
      <c r="D485">
        <v>41452201618</v>
      </c>
      <c r="E485" s="1">
        <v>46207.427475231481</v>
      </c>
      <c r="F485">
        <v>115</v>
      </c>
      <c r="G485">
        <v>3</v>
      </c>
      <c r="H485" t="s">
        <v>208</v>
      </c>
      <c r="I485" t="s">
        <v>5</v>
      </c>
      <c r="J485" t="s">
        <v>6</v>
      </c>
      <c r="K485">
        <v>42632468</v>
      </c>
      <c r="L485">
        <v>309269</v>
      </c>
      <c r="M485">
        <v>20000</v>
      </c>
      <c r="N485" t="s">
        <v>7</v>
      </c>
      <c r="O485">
        <v>258109.93</v>
      </c>
      <c r="P485" t="s">
        <v>209</v>
      </c>
      <c r="Q485" t="s">
        <v>11</v>
      </c>
      <c r="R485">
        <v>118877885</v>
      </c>
      <c r="S485">
        <v>118877885</v>
      </c>
      <c r="T485">
        <v>118877885</v>
      </c>
      <c r="U485" t="s">
        <v>210</v>
      </c>
      <c r="V485" t="s">
        <v>9</v>
      </c>
    </row>
    <row r="486" spans="1:22" x14ac:dyDescent="0.25">
      <c r="A486">
        <v>41452226654</v>
      </c>
      <c r="B486" t="s">
        <v>2</v>
      </c>
      <c r="C486" t="s">
        <v>193</v>
      </c>
      <c r="D486">
        <v>41452226654</v>
      </c>
      <c r="E486" s="1">
        <v>46207.438342685185</v>
      </c>
      <c r="F486">
        <v>115</v>
      </c>
      <c r="G486">
        <v>3</v>
      </c>
      <c r="H486" t="s">
        <v>4</v>
      </c>
      <c r="I486" t="s">
        <v>5</v>
      </c>
      <c r="J486" t="s">
        <v>6</v>
      </c>
      <c r="K486">
        <v>16281625</v>
      </c>
      <c r="L486">
        <v>608407</v>
      </c>
      <c r="M486">
        <v>100000</v>
      </c>
      <c r="N486" t="s">
        <v>7</v>
      </c>
      <c r="O486">
        <v>1290549.53</v>
      </c>
      <c r="P486" t="s">
        <v>61</v>
      </c>
      <c r="Q486" t="s">
        <v>8</v>
      </c>
      <c r="R486">
        <v>128533080</v>
      </c>
      <c r="S486">
        <v>128533080</v>
      </c>
      <c r="T486">
        <v>128533080</v>
      </c>
      <c r="U486" t="s">
        <v>62</v>
      </c>
      <c r="V486" t="s">
        <v>63</v>
      </c>
    </row>
    <row r="487" spans="1:22" x14ac:dyDescent="0.25">
      <c r="A487">
        <v>41456137866</v>
      </c>
      <c r="B487" t="s">
        <v>10</v>
      </c>
      <c r="C487" t="s">
        <v>193</v>
      </c>
      <c r="D487">
        <v>41456137866</v>
      </c>
      <c r="E487" s="1">
        <v>46209.794501701392</v>
      </c>
      <c r="F487">
        <v>115</v>
      </c>
      <c r="G487">
        <v>3</v>
      </c>
      <c r="H487" t="s">
        <v>4</v>
      </c>
      <c r="I487" t="s">
        <v>5</v>
      </c>
      <c r="J487" t="s">
        <v>6</v>
      </c>
      <c r="K487">
        <v>50254528</v>
      </c>
      <c r="L487">
        <v>41333</v>
      </c>
      <c r="M487">
        <v>60000</v>
      </c>
      <c r="N487" t="s">
        <v>7</v>
      </c>
      <c r="O487">
        <v>774329.78</v>
      </c>
      <c r="P487" t="s">
        <v>169</v>
      </c>
      <c r="Q487" t="s">
        <v>8</v>
      </c>
      <c r="R487">
        <v>114795784</v>
      </c>
      <c r="S487">
        <v>114795784</v>
      </c>
      <c r="T487">
        <v>114795784</v>
      </c>
      <c r="U487" t="s">
        <v>170</v>
      </c>
      <c r="V487" t="s">
        <v>15</v>
      </c>
    </row>
    <row r="488" spans="1:22" x14ac:dyDescent="0.25">
      <c r="A488">
        <v>41455938889</v>
      </c>
      <c r="B488" t="s">
        <v>10</v>
      </c>
      <c r="C488" t="s">
        <v>193</v>
      </c>
      <c r="D488">
        <v>41455938889</v>
      </c>
      <c r="E488" s="1">
        <v>46209.713750798612</v>
      </c>
      <c r="F488">
        <v>115</v>
      </c>
      <c r="G488">
        <v>3</v>
      </c>
      <c r="H488" t="s">
        <v>4</v>
      </c>
      <c r="I488" t="s">
        <v>5</v>
      </c>
      <c r="J488" t="s">
        <v>6</v>
      </c>
      <c r="K488">
        <v>60372471</v>
      </c>
      <c r="L488">
        <v>209056</v>
      </c>
      <c r="M488">
        <v>55000</v>
      </c>
      <c r="N488" t="s">
        <v>7</v>
      </c>
      <c r="O488">
        <v>709802.3</v>
      </c>
      <c r="P488" t="s">
        <v>77</v>
      </c>
      <c r="Q488" t="s">
        <v>8</v>
      </c>
      <c r="R488">
        <v>135227809</v>
      </c>
      <c r="S488">
        <v>135227809</v>
      </c>
      <c r="T488">
        <v>135227809</v>
      </c>
      <c r="U488" t="s">
        <v>78</v>
      </c>
      <c r="V488" t="s">
        <v>9</v>
      </c>
    </row>
    <row r="489" spans="1:22" x14ac:dyDescent="0.25">
      <c r="A489">
        <v>41455562425</v>
      </c>
      <c r="B489" t="s">
        <v>10</v>
      </c>
      <c r="C489" t="s">
        <v>193</v>
      </c>
      <c r="D489">
        <v>41455562425</v>
      </c>
      <c r="E489" s="1">
        <v>46209.588894768516</v>
      </c>
      <c r="F489">
        <v>115</v>
      </c>
      <c r="G489">
        <v>3</v>
      </c>
      <c r="H489" t="s">
        <v>4</v>
      </c>
      <c r="I489" t="s">
        <v>5</v>
      </c>
      <c r="J489" t="s">
        <v>6</v>
      </c>
      <c r="K489">
        <v>50254528</v>
      </c>
      <c r="L489">
        <v>41333</v>
      </c>
      <c r="M489">
        <v>59000</v>
      </c>
      <c r="N489" t="s">
        <v>7</v>
      </c>
      <c r="O489">
        <v>761424.28</v>
      </c>
      <c r="P489" t="s">
        <v>169</v>
      </c>
      <c r="Q489" t="s">
        <v>8</v>
      </c>
      <c r="R489">
        <v>114795784</v>
      </c>
      <c r="S489">
        <v>114795784</v>
      </c>
      <c r="T489">
        <v>114795784</v>
      </c>
      <c r="U489" t="s">
        <v>170</v>
      </c>
      <c r="V489" t="s">
        <v>15</v>
      </c>
    </row>
    <row r="490" spans="1:22" x14ac:dyDescent="0.25">
      <c r="A490">
        <v>41455493035</v>
      </c>
      <c r="B490" t="s">
        <v>10</v>
      </c>
      <c r="C490" t="s">
        <v>193</v>
      </c>
      <c r="D490">
        <v>41455493035</v>
      </c>
      <c r="E490" s="1">
        <v>46209.568149166669</v>
      </c>
      <c r="F490">
        <v>115</v>
      </c>
      <c r="G490">
        <v>3</v>
      </c>
      <c r="H490" t="s">
        <v>4</v>
      </c>
      <c r="I490" t="s">
        <v>5</v>
      </c>
      <c r="J490" t="s">
        <v>6</v>
      </c>
      <c r="K490">
        <v>54008774</v>
      </c>
      <c r="L490">
        <v>90643</v>
      </c>
      <c r="M490">
        <v>50000</v>
      </c>
      <c r="N490" t="s">
        <v>7</v>
      </c>
      <c r="O490">
        <v>645274.81999999995</v>
      </c>
      <c r="P490" t="s">
        <v>130</v>
      </c>
      <c r="Q490" t="s">
        <v>8</v>
      </c>
      <c r="R490">
        <v>120919394</v>
      </c>
      <c r="S490">
        <v>120919394</v>
      </c>
      <c r="T490">
        <v>120919394</v>
      </c>
      <c r="U490" t="s">
        <v>131</v>
      </c>
      <c r="V490" t="s">
        <v>9</v>
      </c>
    </row>
    <row r="491" spans="1:22" x14ac:dyDescent="0.25">
      <c r="A491">
        <v>41457559096</v>
      </c>
      <c r="B491" t="s">
        <v>10</v>
      </c>
      <c r="C491" t="s">
        <v>193</v>
      </c>
      <c r="D491">
        <v>41457559096</v>
      </c>
      <c r="E491" s="1">
        <v>46210.693101805555</v>
      </c>
      <c r="F491">
        <v>115</v>
      </c>
      <c r="G491">
        <v>3</v>
      </c>
      <c r="H491" t="s">
        <v>4</v>
      </c>
      <c r="I491" t="s">
        <v>5</v>
      </c>
      <c r="J491" t="s">
        <v>6</v>
      </c>
      <c r="K491">
        <v>50254528</v>
      </c>
      <c r="L491">
        <v>41333</v>
      </c>
      <c r="M491">
        <v>80000</v>
      </c>
      <c r="N491" t="s">
        <v>7</v>
      </c>
      <c r="O491">
        <v>1032439.7</v>
      </c>
      <c r="P491" t="s">
        <v>169</v>
      </c>
      <c r="Q491" t="s">
        <v>8</v>
      </c>
      <c r="R491">
        <v>114795784</v>
      </c>
      <c r="S491">
        <v>114795784</v>
      </c>
      <c r="T491">
        <v>114795784</v>
      </c>
      <c r="U491" t="s">
        <v>170</v>
      </c>
      <c r="V491" t="s">
        <v>15</v>
      </c>
    </row>
    <row r="492" spans="1:22" x14ac:dyDescent="0.25">
      <c r="A492">
        <v>41457595014</v>
      </c>
      <c r="B492" t="s">
        <v>10</v>
      </c>
      <c r="C492" t="s">
        <v>193</v>
      </c>
      <c r="D492">
        <v>41457595014</v>
      </c>
      <c r="E492" s="1">
        <v>46210.705683749999</v>
      </c>
      <c r="F492">
        <v>115</v>
      </c>
      <c r="G492">
        <v>3</v>
      </c>
      <c r="H492" t="s">
        <v>132</v>
      </c>
      <c r="I492" t="s">
        <v>5</v>
      </c>
      <c r="J492" t="s">
        <v>6</v>
      </c>
      <c r="K492">
        <v>14063562</v>
      </c>
      <c r="L492">
        <v>770439</v>
      </c>
      <c r="M492">
        <v>10000</v>
      </c>
      <c r="N492" t="s">
        <v>7</v>
      </c>
      <c r="O492">
        <v>129054.96</v>
      </c>
      <c r="P492" t="s">
        <v>133</v>
      </c>
      <c r="Q492" t="s">
        <v>11</v>
      </c>
      <c r="R492">
        <v>125963512</v>
      </c>
      <c r="S492">
        <v>125963512</v>
      </c>
      <c r="T492">
        <v>125963512</v>
      </c>
      <c r="U492" t="s">
        <v>134</v>
      </c>
      <c r="V492" t="s">
        <v>9</v>
      </c>
    </row>
    <row r="493" spans="1:22" x14ac:dyDescent="0.25">
      <c r="A493">
        <v>41456899665</v>
      </c>
      <c r="B493" t="s">
        <v>10</v>
      </c>
      <c r="C493" t="s">
        <v>193</v>
      </c>
      <c r="D493">
        <v>41456899665</v>
      </c>
      <c r="E493" s="1">
        <v>46210.477408171297</v>
      </c>
      <c r="F493">
        <v>115</v>
      </c>
      <c r="G493">
        <v>3</v>
      </c>
      <c r="H493" t="s">
        <v>4</v>
      </c>
      <c r="I493" t="s">
        <v>5</v>
      </c>
      <c r="J493" t="s">
        <v>6</v>
      </c>
      <c r="K493">
        <v>85532110</v>
      </c>
      <c r="L493">
        <v>608407</v>
      </c>
      <c r="M493">
        <v>55000</v>
      </c>
      <c r="N493" t="s">
        <v>7</v>
      </c>
      <c r="O493">
        <v>709802.3</v>
      </c>
      <c r="P493" t="s">
        <v>111</v>
      </c>
      <c r="Q493" t="s">
        <v>8</v>
      </c>
      <c r="R493">
        <v>123478273</v>
      </c>
      <c r="S493">
        <v>123478273</v>
      </c>
      <c r="T493">
        <v>123478273</v>
      </c>
      <c r="U493" t="s">
        <v>112</v>
      </c>
      <c r="V493" t="s">
        <v>9</v>
      </c>
    </row>
    <row r="494" spans="1:22" x14ac:dyDescent="0.25">
      <c r="A494">
        <v>41456954979</v>
      </c>
      <c r="B494" t="s">
        <v>2</v>
      </c>
      <c r="C494" t="s">
        <v>193</v>
      </c>
      <c r="D494">
        <v>41456954979</v>
      </c>
      <c r="E494" s="1">
        <v>46210.496085254628</v>
      </c>
      <c r="F494">
        <v>115</v>
      </c>
      <c r="G494">
        <v>3</v>
      </c>
      <c r="H494" t="s">
        <v>4</v>
      </c>
      <c r="I494" t="s">
        <v>5</v>
      </c>
      <c r="J494" t="s">
        <v>6</v>
      </c>
      <c r="K494">
        <v>50254528</v>
      </c>
      <c r="L494">
        <v>41333</v>
      </c>
      <c r="M494">
        <v>80000</v>
      </c>
      <c r="N494" t="s">
        <v>7</v>
      </c>
      <c r="O494">
        <v>1032439.7</v>
      </c>
      <c r="P494" t="s">
        <v>169</v>
      </c>
      <c r="Q494" t="s">
        <v>8</v>
      </c>
      <c r="R494">
        <v>114795784</v>
      </c>
      <c r="S494">
        <v>114795784</v>
      </c>
      <c r="T494">
        <v>114795784</v>
      </c>
      <c r="U494" t="s">
        <v>170</v>
      </c>
      <c r="V494" t="s">
        <v>15</v>
      </c>
    </row>
    <row r="495" spans="1:22" x14ac:dyDescent="0.25">
      <c r="A495">
        <v>41459674249</v>
      </c>
      <c r="B495" t="s">
        <v>10</v>
      </c>
      <c r="C495" t="s">
        <v>193</v>
      </c>
      <c r="D495">
        <v>41459674249</v>
      </c>
      <c r="E495" s="1">
        <v>46211.905969467596</v>
      </c>
      <c r="F495">
        <v>115</v>
      </c>
      <c r="G495">
        <v>3</v>
      </c>
      <c r="H495" t="s">
        <v>135</v>
      </c>
      <c r="I495" t="s">
        <v>5</v>
      </c>
      <c r="J495" t="s">
        <v>6</v>
      </c>
      <c r="K495">
        <v>1362320</v>
      </c>
      <c r="L495">
        <v>304067</v>
      </c>
      <c r="M495">
        <v>20000</v>
      </c>
      <c r="N495" t="s">
        <v>7</v>
      </c>
      <c r="O495">
        <v>258109.93</v>
      </c>
      <c r="P495" t="s">
        <v>139</v>
      </c>
      <c r="Q495" t="s">
        <v>8</v>
      </c>
      <c r="R495">
        <v>115716052</v>
      </c>
      <c r="S495">
        <v>115716052</v>
      </c>
      <c r="T495">
        <v>115716052</v>
      </c>
      <c r="U495" t="s">
        <v>137</v>
      </c>
      <c r="V495" t="s">
        <v>138</v>
      </c>
    </row>
    <row r="496" spans="1:22" x14ac:dyDescent="0.25">
      <c r="A496">
        <v>41459665892</v>
      </c>
      <c r="B496" t="s">
        <v>10</v>
      </c>
      <c r="C496" t="s">
        <v>193</v>
      </c>
      <c r="D496">
        <v>41459665892</v>
      </c>
      <c r="E496" s="1">
        <v>46211.900604907409</v>
      </c>
      <c r="F496">
        <v>115</v>
      </c>
      <c r="G496">
        <v>3</v>
      </c>
      <c r="H496" t="s">
        <v>135</v>
      </c>
      <c r="I496" t="s">
        <v>5</v>
      </c>
      <c r="J496" t="s">
        <v>6</v>
      </c>
      <c r="K496">
        <v>1362320</v>
      </c>
      <c r="L496">
        <v>304067</v>
      </c>
      <c r="M496">
        <v>20000</v>
      </c>
      <c r="N496" t="s">
        <v>7</v>
      </c>
      <c r="O496">
        <v>258109.93</v>
      </c>
      <c r="P496" t="s">
        <v>136</v>
      </c>
      <c r="Q496" t="s">
        <v>8</v>
      </c>
      <c r="R496">
        <v>115716052</v>
      </c>
      <c r="S496">
        <v>115716052</v>
      </c>
      <c r="T496">
        <v>115716052</v>
      </c>
      <c r="U496" t="s">
        <v>137</v>
      </c>
      <c r="V496" t="s">
        <v>138</v>
      </c>
    </row>
    <row r="497" spans="1:22" x14ac:dyDescent="0.25">
      <c r="A497">
        <v>41458876248</v>
      </c>
      <c r="B497" t="s">
        <v>10</v>
      </c>
      <c r="C497" t="s">
        <v>193</v>
      </c>
      <c r="D497">
        <v>41458876248</v>
      </c>
      <c r="E497" s="1">
        <v>46211.579239108796</v>
      </c>
      <c r="F497">
        <v>98</v>
      </c>
      <c r="G497">
        <v>3</v>
      </c>
      <c r="H497" t="s">
        <v>154</v>
      </c>
      <c r="I497" t="s">
        <v>155</v>
      </c>
      <c r="J497" t="s">
        <v>6</v>
      </c>
      <c r="K497" t="s">
        <v>156</v>
      </c>
      <c r="L497" t="s">
        <v>26</v>
      </c>
      <c r="M497">
        <v>45000</v>
      </c>
      <c r="N497" t="s">
        <v>27</v>
      </c>
      <c r="O497">
        <v>498940.53</v>
      </c>
      <c r="P497" t="s">
        <v>157</v>
      </c>
      <c r="Q497" t="s">
        <v>8</v>
      </c>
      <c r="R497">
        <v>134675180</v>
      </c>
      <c r="S497">
        <v>134675180</v>
      </c>
      <c r="T497">
        <v>134675180</v>
      </c>
      <c r="U497" t="s">
        <v>158</v>
      </c>
      <c r="V497" t="s">
        <v>9</v>
      </c>
    </row>
    <row r="498" spans="1:22" x14ac:dyDescent="0.25">
      <c r="A498">
        <v>41458638970</v>
      </c>
      <c r="B498" t="s">
        <v>10</v>
      </c>
      <c r="C498" t="s">
        <v>193</v>
      </c>
      <c r="D498">
        <v>41458638970</v>
      </c>
      <c r="E498" s="1">
        <v>46211.500167245373</v>
      </c>
      <c r="F498">
        <v>115</v>
      </c>
      <c r="G498">
        <v>3</v>
      </c>
      <c r="H498" t="s">
        <v>4</v>
      </c>
      <c r="I498" t="s">
        <v>5</v>
      </c>
      <c r="J498" t="s">
        <v>6</v>
      </c>
      <c r="K498">
        <v>61949425</v>
      </c>
      <c r="L498">
        <v>406437</v>
      </c>
      <c r="M498">
        <v>49990</v>
      </c>
      <c r="N498" t="s">
        <v>7</v>
      </c>
      <c r="O498">
        <v>645145.71</v>
      </c>
      <c r="P498" t="s">
        <v>34</v>
      </c>
      <c r="Q498" t="s">
        <v>8</v>
      </c>
      <c r="R498">
        <v>118924208</v>
      </c>
      <c r="S498">
        <v>118924208</v>
      </c>
      <c r="T498">
        <v>118924208</v>
      </c>
      <c r="U498" t="s">
        <v>35</v>
      </c>
      <c r="V498" t="s">
        <v>9</v>
      </c>
    </row>
    <row r="499" spans="1:22" x14ac:dyDescent="0.25">
      <c r="A499">
        <v>41458656962</v>
      </c>
      <c r="B499" t="s">
        <v>10</v>
      </c>
      <c r="C499" t="s">
        <v>193</v>
      </c>
      <c r="D499">
        <v>41458656962</v>
      </c>
      <c r="E499" s="1">
        <v>46211.506139965277</v>
      </c>
      <c r="F499">
        <v>115</v>
      </c>
      <c r="G499">
        <v>3</v>
      </c>
      <c r="H499" t="s">
        <v>4</v>
      </c>
      <c r="I499" t="s">
        <v>5</v>
      </c>
      <c r="J499" t="s">
        <v>6</v>
      </c>
      <c r="K499">
        <v>12775154</v>
      </c>
      <c r="L499">
        <v>406437</v>
      </c>
      <c r="M499">
        <v>89861</v>
      </c>
      <c r="N499" t="s">
        <v>7</v>
      </c>
      <c r="O499">
        <v>1159700.77</v>
      </c>
      <c r="P499" t="s">
        <v>113</v>
      </c>
      <c r="Q499" t="s">
        <v>8</v>
      </c>
      <c r="R499">
        <v>107919482</v>
      </c>
      <c r="S499">
        <v>107919482</v>
      </c>
      <c r="T499">
        <v>107919482</v>
      </c>
      <c r="U499" t="s">
        <v>114</v>
      </c>
      <c r="V499" t="s">
        <v>115</v>
      </c>
    </row>
    <row r="500" spans="1:22" x14ac:dyDescent="0.25">
      <c r="A500">
        <v>41458240997</v>
      </c>
      <c r="B500" t="s">
        <v>10</v>
      </c>
      <c r="C500" t="s">
        <v>193</v>
      </c>
      <c r="D500">
        <v>41458240997</v>
      </c>
      <c r="E500" s="1">
        <v>46211.32375077546</v>
      </c>
      <c r="F500">
        <v>115</v>
      </c>
      <c r="G500">
        <v>3</v>
      </c>
      <c r="H500" t="s">
        <v>211</v>
      </c>
      <c r="I500" t="s">
        <v>5</v>
      </c>
      <c r="J500" t="s">
        <v>6</v>
      </c>
      <c r="K500">
        <v>27404660</v>
      </c>
      <c r="L500">
        <v>309915</v>
      </c>
      <c r="M500">
        <v>20000</v>
      </c>
      <c r="N500" t="s">
        <v>7</v>
      </c>
      <c r="O500">
        <v>258109.93</v>
      </c>
      <c r="P500" t="s">
        <v>212</v>
      </c>
      <c r="Q500" t="s">
        <v>11</v>
      </c>
      <c r="R500">
        <v>139310916</v>
      </c>
      <c r="S500">
        <v>139310916</v>
      </c>
      <c r="T500">
        <v>139310916</v>
      </c>
      <c r="U500" t="s">
        <v>213</v>
      </c>
      <c r="V500" t="s">
        <v>214</v>
      </c>
    </row>
    <row r="501" spans="1:22" x14ac:dyDescent="0.25">
      <c r="A501">
        <v>41458164138</v>
      </c>
      <c r="B501" t="s">
        <v>10</v>
      </c>
      <c r="C501" t="s">
        <v>193</v>
      </c>
      <c r="D501">
        <v>41458164138</v>
      </c>
      <c r="E501" s="1">
        <v>46211.052859166666</v>
      </c>
      <c r="F501">
        <v>115</v>
      </c>
      <c r="G501">
        <v>3</v>
      </c>
      <c r="H501" t="s">
        <v>140</v>
      </c>
      <c r="I501" t="s">
        <v>5</v>
      </c>
      <c r="J501" t="s">
        <v>6</v>
      </c>
      <c r="K501">
        <v>13389011</v>
      </c>
      <c r="L501">
        <v>50200</v>
      </c>
      <c r="M501">
        <v>35000</v>
      </c>
      <c r="N501" t="s">
        <v>7</v>
      </c>
      <c r="O501">
        <v>451692.37</v>
      </c>
      <c r="P501" t="s">
        <v>141</v>
      </c>
      <c r="Q501" t="s">
        <v>8</v>
      </c>
      <c r="R501">
        <v>125587352</v>
      </c>
      <c r="S501">
        <v>125587352</v>
      </c>
      <c r="T501">
        <v>125587352</v>
      </c>
      <c r="U501" t="s">
        <v>142</v>
      </c>
      <c r="V501" t="s">
        <v>9</v>
      </c>
    </row>
    <row r="502" spans="1:22" x14ac:dyDescent="0.25">
      <c r="A502">
        <v>41458164248</v>
      </c>
      <c r="B502" t="s">
        <v>10</v>
      </c>
      <c r="C502" t="s">
        <v>193</v>
      </c>
      <c r="D502">
        <v>41458164248</v>
      </c>
      <c r="E502" s="1">
        <v>46211.052869004627</v>
      </c>
      <c r="F502">
        <v>115</v>
      </c>
      <c r="G502">
        <v>3</v>
      </c>
      <c r="H502" t="s">
        <v>140</v>
      </c>
      <c r="I502" t="s">
        <v>5</v>
      </c>
      <c r="J502" t="s">
        <v>6</v>
      </c>
      <c r="K502">
        <v>13389011</v>
      </c>
      <c r="L502">
        <v>50200</v>
      </c>
      <c r="M502">
        <v>50000</v>
      </c>
      <c r="N502" t="s">
        <v>7</v>
      </c>
      <c r="O502">
        <v>645274.81999999995</v>
      </c>
      <c r="P502" t="s">
        <v>141</v>
      </c>
      <c r="Q502" t="s">
        <v>8</v>
      </c>
      <c r="R502">
        <v>125587352</v>
      </c>
      <c r="S502">
        <v>125587352</v>
      </c>
      <c r="T502">
        <v>125587352</v>
      </c>
      <c r="U502" t="s">
        <v>142</v>
      </c>
      <c r="V502" t="s">
        <v>9</v>
      </c>
    </row>
    <row r="503" spans="1:22" x14ac:dyDescent="0.25">
      <c r="A503">
        <v>41461001762</v>
      </c>
      <c r="B503" t="s">
        <v>10</v>
      </c>
      <c r="C503" t="s">
        <v>193</v>
      </c>
      <c r="D503">
        <v>41461001762</v>
      </c>
      <c r="E503" s="1">
        <v>46212.74098869213</v>
      </c>
      <c r="F503">
        <v>115</v>
      </c>
      <c r="G503">
        <v>3</v>
      </c>
      <c r="H503" t="s">
        <v>171</v>
      </c>
      <c r="I503" t="s">
        <v>5</v>
      </c>
      <c r="J503" t="s">
        <v>6</v>
      </c>
      <c r="K503">
        <v>1487140</v>
      </c>
      <c r="L503">
        <v>403823</v>
      </c>
      <c r="M503">
        <v>50000</v>
      </c>
      <c r="N503" t="s">
        <v>7</v>
      </c>
      <c r="O503">
        <v>645274.81999999995</v>
      </c>
      <c r="P503" t="s">
        <v>172</v>
      </c>
      <c r="Q503" t="s">
        <v>8</v>
      </c>
      <c r="R503">
        <v>112032156</v>
      </c>
      <c r="S503">
        <v>112032156</v>
      </c>
      <c r="T503">
        <v>112032156</v>
      </c>
      <c r="U503" t="s">
        <v>173</v>
      </c>
      <c r="V503" t="s">
        <v>9</v>
      </c>
    </row>
    <row r="504" spans="1:22" x14ac:dyDescent="0.25">
      <c r="A504">
        <v>41462835117</v>
      </c>
      <c r="B504" t="s">
        <v>10</v>
      </c>
      <c r="C504" t="s">
        <v>193</v>
      </c>
      <c r="D504">
        <v>41462835117</v>
      </c>
      <c r="E504" s="1">
        <v>46213.782349236113</v>
      </c>
      <c r="F504">
        <v>115</v>
      </c>
      <c r="G504">
        <v>3</v>
      </c>
      <c r="H504" t="s">
        <v>143</v>
      </c>
      <c r="I504" t="s">
        <v>5</v>
      </c>
      <c r="J504" t="s">
        <v>6</v>
      </c>
      <c r="K504">
        <v>10235121</v>
      </c>
      <c r="L504">
        <v>403232</v>
      </c>
      <c r="M504">
        <v>100000</v>
      </c>
      <c r="N504" t="s">
        <v>7</v>
      </c>
      <c r="O504">
        <v>1290549.53</v>
      </c>
      <c r="P504" t="s">
        <v>144</v>
      </c>
      <c r="Q504" t="s">
        <v>8</v>
      </c>
      <c r="R504">
        <v>148525652</v>
      </c>
      <c r="S504">
        <v>148525652</v>
      </c>
      <c r="T504">
        <v>148525652</v>
      </c>
      <c r="U504" t="s">
        <v>145</v>
      </c>
      <c r="V504" t="s">
        <v>9</v>
      </c>
    </row>
    <row r="505" spans="1:22" x14ac:dyDescent="0.25">
      <c r="A505">
        <v>41462775437</v>
      </c>
      <c r="B505" t="s">
        <v>10</v>
      </c>
      <c r="C505" t="s">
        <v>193</v>
      </c>
      <c r="D505">
        <v>41462775437</v>
      </c>
      <c r="E505" s="1">
        <v>46213.756140486112</v>
      </c>
      <c r="F505">
        <v>69</v>
      </c>
      <c r="G505">
        <v>3</v>
      </c>
      <c r="H505" t="s">
        <v>143</v>
      </c>
      <c r="I505" t="s">
        <v>5</v>
      </c>
      <c r="J505" t="s">
        <v>6</v>
      </c>
      <c r="K505">
        <v>8948453</v>
      </c>
      <c r="L505">
        <v>403232</v>
      </c>
      <c r="M505">
        <v>600000</v>
      </c>
      <c r="N505" t="s">
        <v>7</v>
      </c>
      <c r="O505">
        <v>7743297.4900000002</v>
      </c>
      <c r="P505" t="s">
        <v>215</v>
      </c>
      <c r="Q505" t="s">
        <v>8</v>
      </c>
      <c r="R505">
        <v>112032156</v>
      </c>
      <c r="S505">
        <v>112032156</v>
      </c>
      <c r="T505">
        <v>112032156</v>
      </c>
      <c r="U505" t="s">
        <v>173</v>
      </c>
      <c r="V505" t="s">
        <v>9</v>
      </c>
    </row>
    <row r="506" spans="1:22" x14ac:dyDescent="0.25">
      <c r="A506">
        <v>41462839274</v>
      </c>
      <c r="B506" t="s">
        <v>10</v>
      </c>
      <c r="C506" t="s">
        <v>193</v>
      </c>
      <c r="D506">
        <v>41462839274</v>
      </c>
      <c r="E506" s="1">
        <v>46213.784352766204</v>
      </c>
      <c r="F506">
        <v>115</v>
      </c>
      <c r="G506">
        <v>3</v>
      </c>
      <c r="H506" t="s">
        <v>143</v>
      </c>
      <c r="I506" t="s">
        <v>5</v>
      </c>
      <c r="J506" t="s">
        <v>6</v>
      </c>
      <c r="K506">
        <v>10235121</v>
      </c>
      <c r="L506">
        <v>403232</v>
      </c>
      <c r="M506">
        <v>100000</v>
      </c>
      <c r="N506" t="s">
        <v>7</v>
      </c>
      <c r="O506">
        <v>1290549.53</v>
      </c>
      <c r="P506" t="s">
        <v>144</v>
      </c>
      <c r="Q506" t="s">
        <v>8</v>
      </c>
      <c r="R506">
        <v>148525652</v>
      </c>
      <c r="S506">
        <v>148525652</v>
      </c>
      <c r="T506">
        <v>148525652</v>
      </c>
      <c r="U506" t="s">
        <v>145</v>
      </c>
      <c r="V506" t="s">
        <v>9</v>
      </c>
    </row>
    <row r="507" spans="1:22" x14ac:dyDescent="0.25">
      <c r="A507">
        <v>41462850655</v>
      </c>
      <c r="B507" t="s">
        <v>2</v>
      </c>
      <c r="C507" t="s">
        <v>193</v>
      </c>
      <c r="D507">
        <v>41462850655</v>
      </c>
      <c r="E507" s="1">
        <v>46213.789105752316</v>
      </c>
      <c r="F507">
        <v>115</v>
      </c>
      <c r="G507">
        <v>3</v>
      </c>
      <c r="H507" t="s">
        <v>143</v>
      </c>
      <c r="I507" t="s">
        <v>5</v>
      </c>
      <c r="J507" t="s">
        <v>6</v>
      </c>
      <c r="K507">
        <v>10235121</v>
      </c>
      <c r="L507">
        <v>403232</v>
      </c>
      <c r="M507">
        <v>80000</v>
      </c>
      <c r="N507" t="s">
        <v>7</v>
      </c>
      <c r="O507">
        <v>1032439.7</v>
      </c>
      <c r="P507" t="s">
        <v>144</v>
      </c>
      <c r="Q507" t="s">
        <v>8</v>
      </c>
      <c r="R507">
        <v>148525652</v>
      </c>
      <c r="S507">
        <v>148525652</v>
      </c>
      <c r="T507">
        <v>148525652</v>
      </c>
      <c r="U507" t="s">
        <v>145</v>
      </c>
      <c r="V507" t="s">
        <v>9</v>
      </c>
    </row>
    <row r="508" spans="1:22" x14ac:dyDescent="0.25">
      <c r="A508">
        <v>41462512107</v>
      </c>
      <c r="B508" t="s">
        <v>10</v>
      </c>
      <c r="C508" t="s">
        <v>193</v>
      </c>
      <c r="D508">
        <v>41462512107</v>
      </c>
      <c r="E508" s="1">
        <v>46213.659513206017</v>
      </c>
      <c r="F508">
        <v>115</v>
      </c>
      <c r="G508">
        <v>3</v>
      </c>
      <c r="H508" t="s">
        <v>4</v>
      </c>
      <c r="I508" t="s">
        <v>5</v>
      </c>
      <c r="J508" t="s">
        <v>6</v>
      </c>
      <c r="K508">
        <v>8545946</v>
      </c>
      <c r="L508">
        <v>40005</v>
      </c>
      <c r="M508">
        <v>10000</v>
      </c>
      <c r="N508" t="s">
        <v>7</v>
      </c>
      <c r="O508">
        <v>129054.96</v>
      </c>
      <c r="P508" t="s">
        <v>186</v>
      </c>
      <c r="Q508" t="s">
        <v>11</v>
      </c>
      <c r="R508">
        <v>89938773</v>
      </c>
      <c r="S508">
        <v>89938773</v>
      </c>
      <c r="T508">
        <v>89938773</v>
      </c>
      <c r="U508" t="s">
        <v>187</v>
      </c>
      <c r="V508" t="s">
        <v>9</v>
      </c>
    </row>
    <row r="509" spans="1:22" x14ac:dyDescent="0.25">
      <c r="A509">
        <v>41462004245</v>
      </c>
      <c r="B509" t="s">
        <v>10</v>
      </c>
      <c r="C509" t="s">
        <v>193</v>
      </c>
      <c r="D509">
        <v>41462004245</v>
      </c>
      <c r="E509" s="1">
        <v>46213.504077106481</v>
      </c>
      <c r="F509">
        <v>115</v>
      </c>
      <c r="G509">
        <v>3</v>
      </c>
      <c r="H509" t="s">
        <v>4</v>
      </c>
      <c r="I509" t="s">
        <v>5</v>
      </c>
      <c r="J509" t="s">
        <v>6</v>
      </c>
      <c r="K509">
        <v>6666272</v>
      </c>
      <c r="L509">
        <v>180002</v>
      </c>
      <c r="M509">
        <v>80000</v>
      </c>
      <c r="N509" t="s">
        <v>7</v>
      </c>
      <c r="O509">
        <v>1032439.7</v>
      </c>
      <c r="P509" t="s">
        <v>116</v>
      </c>
      <c r="Q509" t="s">
        <v>8</v>
      </c>
      <c r="R509">
        <v>110380607</v>
      </c>
      <c r="S509">
        <v>110380607</v>
      </c>
      <c r="T509">
        <v>110380607</v>
      </c>
      <c r="U509" t="s">
        <v>117</v>
      </c>
      <c r="V509" t="s">
        <v>15</v>
      </c>
    </row>
    <row r="510" spans="1:22" x14ac:dyDescent="0.25">
      <c r="A510">
        <v>41461930756</v>
      </c>
      <c r="B510" t="s">
        <v>10</v>
      </c>
      <c r="C510" t="s">
        <v>193</v>
      </c>
      <c r="D510">
        <v>41461930756</v>
      </c>
      <c r="E510" s="1">
        <v>46213.480894513887</v>
      </c>
      <c r="F510">
        <v>115</v>
      </c>
      <c r="G510">
        <v>3</v>
      </c>
      <c r="H510" t="s">
        <v>110</v>
      </c>
      <c r="I510" t="s">
        <v>5</v>
      </c>
      <c r="J510" t="s">
        <v>6</v>
      </c>
      <c r="K510">
        <v>37328301</v>
      </c>
      <c r="L510">
        <v>86064</v>
      </c>
      <c r="M510">
        <v>15000</v>
      </c>
      <c r="N510" t="s">
        <v>7</v>
      </c>
      <c r="O510">
        <v>193582.44</v>
      </c>
      <c r="P510" t="s">
        <v>118</v>
      </c>
      <c r="Q510" t="s">
        <v>8</v>
      </c>
      <c r="R510">
        <v>123516163</v>
      </c>
      <c r="S510">
        <v>148822042</v>
      </c>
      <c r="T510">
        <v>123516163</v>
      </c>
      <c r="U510" t="s">
        <v>119</v>
      </c>
      <c r="V510" t="s">
        <v>9</v>
      </c>
    </row>
    <row r="511" spans="1:22" x14ac:dyDescent="0.25">
      <c r="A511">
        <v>41461945768</v>
      </c>
      <c r="B511" t="s">
        <v>10</v>
      </c>
      <c r="C511" t="s">
        <v>193</v>
      </c>
      <c r="D511">
        <v>41461945768</v>
      </c>
      <c r="E511" s="1">
        <v>46213.485443680554</v>
      </c>
      <c r="F511">
        <v>115</v>
      </c>
      <c r="G511">
        <v>3</v>
      </c>
      <c r="H511" t="s">
        <v>12</v>
      </c>
      <c r="I511" t="s">
        <v>5</v>
      </c>
      <c r="J511" t="s">
        <v>6</v>
      </c>
      <c r="K511">
        <v>32639139</v>
      </c>
      <c r="L511">
        <v>600111</v>
      </c>
      <c r="M511">
        <v>28200</v>
      </c>
      <c r="N511" t="s">
        <v>7</v>
      </c>
      <c r="O511">
        <v>363935</v>
      </c>
      <c r="P511" t="s">
        <v>13</v>
      </c>
      <c r="Q511" t="s">
        <v>8</v>
      </c>
      <c r="R511">
        <v>129901054</v>
      </c>
      <c r="S511">
        <v>129901054</v>
      </c>
      <c r="T511">
        <v>129901054</v>
      </c>
      <c r="U511" t="s">
        <v>14</v>
      </c>
      <c r="V511" t="s">
        <v>15</v>
      </c>
    </row>
    <row r="512" spans="1:22" x14ac:dyDescent="0.25">
      <c r="A512">
        <v>41461960579</v>
      </c>
      <c r="B512" t="s">
        <v>10</v>
      </c>
      <c r="C512" t="s">
        <v>193</v>
      </c>
      <c r="D512">
        <v>41461960579</v>
      </c>
      <c r="E512" s="1">
        <v>46213.490228437498</v>
      </c>
      <c r="F512">
        <v>69</v>
      </c>
      <c r="G512">
        <v>3</v>
      </c>
      <c r="H512" t="s">
        <v>161</v>
      </c>
      <c r="I512" t="s">
        <v>5</v>
      </c>
      <c r="J512" t="s">
        <v>6</v>
      </c>
      <c r="K512">
        <v>77461029</v>
      </c>
      <c r="L512">
        <v>401276</v>
      </c>
      <c r="M512">
        <v>48500</v>
      </c>
      <c r="N512" t="s">
        <v>7</v>
      </c>
      <c r="O512">
        <v>625916.52</v>
      </c>
      <c r="P512" t="s">
        <v>162</v>
      </c>
      <c r="Q512" t="s">
        <v>8</v>
      </c>
      <c r="R512">
        <v>118146281</v>
      </c>
      <c r="S512">
        <v>118146281</v>
      </c>
      <c r="T512">
        <v>118146281</v>
      </c>
      <c r="U512" t="s">
        <v>163</v>
      </c>
      <c r="V512" t="s">
        <v>9</v>
      </c>
    </row>
    <row r="513" spans="1:22" x14ac:dyDescent="0.25">
      <c r="A513">
        <v>41464172459</v>
      </c>
      <c r="B513" t="s">
        <v>10</v>
      </c>
      <c r="C513" t="s">
        <v>193</v>
      </c>
      <c r="D513">
        <v>41464172459</v>
      </c>
      <c r="E513" s="1">
        <v>46214.725021134262</v>
      </c>
      <c r="F513">
        <v>115</v>
      </c>
      <c r="G513">
        <v>3</v>
      </c>
      <c r="H513" t="s">
        <v>4</v>
      </c>
      <c r="I513" t="s">
        <v>5</v>
      </c>
      <c r="J513" t="s">
        <v>6</v>
      </c>
      <c r="K513">
        <v>54044309</v>
      </c>
      <c r="L513">
        <v>90643</v>
      </c>
      <c r="M513">
        <v>49000</v>
      </c>
      <c r="N513" t="s">
        <v>7</v>
      </c>
      <c r="O513">
        <v>632369.31999999995</v>
      </c>
      <c r="P513" t="s">
        <v>174</v>
      </c>
      <c r="Q513" t="s">
        <v>8</v>
      </c>
      <c r="R513">
        <v>114795784</v>
      </c>
      <c r="S513">
        <v>114795784</v>
      </c>
      <c r="T513">
        <v>114795784</v>
      </c>
      <c r="U513" t="s">
        <v>170</v>
      </c>
      <c r="V513" t="s">
        <v>15</v>
      </c>
    </row>
    <row r="514" spans="1:22" x14ac:dyDescent="0.25">
      <c r="A514">
        <v>41463745341</v>
      </c>
      <c r="B514" t="s">
        <v>2</v>
      </c>
      <c r="C514" t="s">
        <v>193</v>
      </c>
      <c r="D514">
        <v>41463745341</v>
      </c>
      <c r="E514" s="1">
        <v>46214.552352708335</v>
      </c>
      <c r="F514">
        <v>115</v>
      </c>
      <c r="G514">
        <v>3</v>
      </c>
      <c r="H514" t="s">
        <v>143</v>
      </c>
      <c r="I514" t="s">
        <v>5</v>
      </c>
      <c r="J514" t="s">
        <v>6</v>
      </c>
      <c r="K514">
        <v>10235121</v>
      </c>
      <c r="L514">
        <v>403232</v>
      </c>
      <c r="M514">
        <v>80000</v>
      </c>
      <c r="N514" t="s">
        <v>7</v>
      </c>
      <c r="O514">
        <v>1032439.7</v>
      </c>
      <c r="P514" t="s">
        <v>144</v>
      </c>
      <c r="Q514" t="s">
        <v>8</v>
      </c>
      <c r="R514">
        <v>148525652</v>
      </c>
      <c r="S514">
        <v>148525652</v>
      </c>
      <c r="T514">
        <v>148525652</v>
      </c>
      <c r="U514" t="s">
        <v>145</v>
      </c>
      <c r="V514" t="s">
        <v>9</v>
      </c>
    </row>
    <row r="515" spans="1:22" x14ac:dyDescent="0.25">
      <c r="A515">
        <v>41463606609</v>
      </c>
      <c r="B515" t="s">
        <v>2</v>
      </c>
      <c r="C515" t="s">
        <v>193</v>
      </c>
      <c r="D515">
        <v>41463606609</v>
      </c>
      <c r="E515" s="1">
        <v>46214.506083831016</v>
      </c>
      <c r="F515">
        <v>115</v>
      </c>
      <c r="G515">
        <v>3</v>
      </c>
      <c r="H515" t="s">
        <v>16</v>
      </c>
      <c r="I515" t="s">
        <v>5</v>
      </c>
      <c r="J515" t="s">
        <v>6</v>
      </c>
      <c r="K515">
        <v>57317232</v>
      </c>
      <c r="L515">
        <v>555010</v>
      </c>
      <c r="M515">
        <v>100000</v>
      </c>
      <c r="N515" t="s">
        <v>7</v>
      </c>
      <c r="O515">
        <v>1290549.53</v>
      </c>
      <c r="P515" t="s">
        <v>17</v>
      </c>
      <c r="Q515" t="s">
        <v>8</v>
      </c>
      <c r="R515">
        <v>146573514</v>
      </c>
      <c r="S515">
        <v>146573514</v>
      </c>
      <c r="T515">
        <v>146573514</v>
      </c>
      <c r="U515" t="s">
        <v>18</v>
      </c>
      <c r="V515" t="s">
        <v>15</v>
      </c>
    </row>
    <row r="516" spans="1:22" x14ac:dyDescent="0.25">
      <c r="A516">
        <v>41463610727</v>
      </c>
      <c r="B516" t="s">
        <v>2</v>
      </c>
      <c r="C516" t="s">
        <v>193</v>
      </c>
      <c r="D516">
        <v>41463610727</v>
      </c>
      <c r="E516" s="1">
        <v>46214.50736797454</v>
      </c>
      <c r="F516">
        <v>115</v>
      </c>
      <c r="G516">
        <v>3</v>
      </c>
      <c r="H516" t="s">
        <v>19</v>
      </c>
      <c r="I516" t="s">
        <v>5</v>
      </c>
      <c r="J516" t="s">
        <v>6</v>
      </c>
      <c r="K516">
        <v>51396080</v>
      </c>
      <c r="L516">
        <v>404031</v>
      </c>
      <c r="M516">
        <v>95000</v>
      </c>
      <c r="N516" t="s">
        <v>7</v>
      </c>
      <c r="O516">
        <v>1226022.05</v>
      </c>
      <c r="P516" t="s">
        <v>17</v>
      </c>
      <c r="Q516" t="s">
        <v>8</v>
      </c>
      <c r="R516">
        <v>146573514</v>
      </c>
      <c r="S516">
        <v>146573514</v>
      </c>
      <c r="T516">
        <v>146573514</v>
      </c>
      <c r="U516" t="s">
        <v>18</v>
      </c>
      <c r="V516" t="s">
        <v>15</v>
      </c>
    </row>
    <row r="517" spans="1:22" x14ac:dyDescent="0.25">
      <c r="A517">
        <v>41463601364</v>
      </c>
      <c r="B517" t="s">
        <v>2</v>
      </c>
      <c r="C517" t="s">
        <v>193</v>
      </c>
      <c r="D517">
        <v>41463601364</v>
      </c>
      <c r="E517" s="1">
        <v>46214.504335254627</v>
      </c>
      <c r="F517">
        <v>115</v>
      </c>
      <c r="G517">
        <v>3</v>
      </c>
      <c r="H517" t="s">
        <v>19</v>
      </c>
      <c r="I517" t="s">
        <v>5</v>
      </c>
      <c r="J517" t="s">
        <v>6</v>
      </c>
      <c r="K517">
        <v>51396080</v>
      </c>
      <c r="L517">
        <v>404031</v>
      </c>
      <c r="M517">
        <v>100000</v>
      </c>
      <c r="N517" t="s">
        <v>7</v>
      </c>
      <c r="O517">
        <v>1290549.53</v>
      </c>
      <c r="P517" t="s">
        <v>17</v>
      </c>
      <c r="Q517" t="s">
        <v>8</v>
      </c>
      <c r="R517">
        <v>146573514</v>
      </c>
      <c r="S517">
        <v>146573514</v>
      </c>
      <c r="T517">
        <v>146573514</v>
      </c>
      <c r="U517" t="s">
        <v>18</v>
      </c>
      <c r="V517" t="s">
        <v>15</v>
      </c>
    </row>
    <row r="518" spans="1:22" x14ac:dyDescent="0.25">
      <c r="A518">
        <v>41463594320</v>
      </c>
      <c r="B518" t="s">
        <v>10</v>
      </c>
      <c r="C518" t="s">
        <v>193</v>
      </c>
      <c r="D518">
        <v>41463594320</v>
      </c>
      <c r="E518" s="1">
        <v>46214.502113020833</v>
      </c>
      <c r="F518">
        <v>115</v>
      </c>
      <c r="G518">
        <v>3</v>
      </c>
      <c r="H518" t="s">
        <v>16</v>
      </c>
      <c r="I518" t="s">
        <v>5</v>
      </c>
      <c r="J518" t="s">
        <v>6</v>
      </c>
      <c r="K518">
        <v>57317232</v>
      </c>
      <c r="L518">
        <v>555010</v>
      </c>
      <c r="M518">
        <v>100000</v>
      </c>
      <c r="N518" t="s">
        <v>7</v>
      </c>
      <c r="O518">
        <v>1290549.53</v>
      </c>
      <c r="P518" t="s">
        <v>17</v>
      </c>
      <c r="Q518" t="s">
        <v>8</v>
      </c>
      <c r="R518">
        <v>146573514</v>
      </c>
      <c r="S518">
        <v>146573514</v>
      </c>
      <c r="T518">
        <v>146573514</v>
      </c>
      <c r="U518" t="s">
        <v>18</v>
      </c>
      <c r="V518" t="s">
        <v>15</v>
      </c>
    </row>
    <row r="519" spans="1:22" x14ac:dyDescent="0.25">
      <c r="A519">
        <v>41463253599</v>
      </c>
      <c r="B519" t="s">
        <v>10</v>
      </c>
      <c r="C519" t="s">
        <v>193</v>
      </c>
      <c r="D519">
        <v>41463253599</v>
      </c>
      <c r="E519" s="1">
        <v>46214.292391076386</v>
      </c>
      <c r="F519">
        <v>115</v>
      </c>
      <c r="G519">
        <v>3</v>
      </c>
      <c r="H519" t="s">
        <v>4</v>
      </c>
      <c r="I519" t="s">
        <v>5</v>
      </c>
      <c r="J519" t="s">
        <v>6</v>
      </c>
      <c r="K519">
        <v>70368032</v>
      </c>
      <c r="L519">
        <v>165873</v>
      </c>
      <c r="M519">
        <v>100000</v>
      </c>
      <c r="N519" t="s">
        <v>7</v>
      </c>
      <c r="O519">
        <v>1290549.53</v>
      </c>
      <c r="P519" t="s">
        <v>79</v>
      </c>
      <c r="Q519" t="s">
        <v>8</v>
      </c>
      <c r="R519">
        <v>101421915</v>
      </c>
      <c r="S519">
        <v>101421915</v>
      </c>
      <c r="T519">
        <v>101421915</v>
      </c>
      <c r="U519" t="s">
        <v>80</v>
      </c>
      <c r="V519" t="s">
        <v>9</v>
      </c>
    </row>
    <row r="520" spans="1:22" x14ac:dyDescent="0.25">
      <c r="A520">
        <v>41467041081</v>
      </c>
      <c r="B520" t="s">
        <v>2</v>
      </c>
      <c r="C520" t="s">
        <v>193</v>
      </c>
      <c r="D520">
        <v>41467041081</v>
      </c>
      <c r="E520" s="1">
        <v>46216.780492708334</v>
      </c>
      <c r="F520">
        <v>115</v>
      </c>
      <c r="G520">
        <v>3</v>
      </c>
      <c r="H520" t="s">
        <v>4</v>
      </c>
      <c r="I520" t="s">
        <v>5</v>
      </c>
      <c r="J520" t="s">
        <v>6</v>
      </c>
      <c r="K520">
        <v>61424661</v>
      </c>
      <c r="L520">
        <v>608407</v>
      </c>
      <c r="M520">
        <v>10000</v>
      </c>
      <c r="N520" t="s">
        <v>7</v>
      </c>
      <c r="O520">
        <v>129054.96</v>
      </c>
      <c r="P520" t="s">
        <v>216</v>
      </c>
      <c r="Q520" t="s">
        <v>11</v>
      </c>
      <c r="R520">
        <v>125048454</v>
      </c>
      <c r="S520">
        <v>125048454</v>
      </c>
      <c r="T520">
        <v>125048454</v>
      </c>
      <c r="U520" t="s">
        <v>217</v>
      </c>
      <c r="V520" t="s">
        <v>9</v>
      </c>
    </row>
    <row r="521" spans="1:22" x14ac:dyDescent="0.25">
      <c r="A521">
        <v>41466483811</v>
      </c>
      <c r="B521" t="s">
        <v>10</v>
      </c>
      <c r="C521" t="s">
        <v>193</v>
      </c>
      <c r="D521">
        <v>41466483811</v>
      </c>
      <c r="E521" s="1">
        <v>46216.567181909719</v>
      </c>
      <c r="F521">
        <v>98</v>
      </c>
      <c r="G521">
        <v>3</v>
      </c>
      <c r="H521" t="s">
        <v>81</v>
      </c>
      <c r="I521" t="s">
        <v>82</v>
      </c>
      <c r="J521" t="s">
        <v>6</v>
      </c>
      <c r="K521" t="s">
        <v>83</v>
      </c>
      <c r="L521" t="s">
        <v>26</v>
      </c>
      <c r="M521">
        <v>116900</v>
      </c>
      <c r="N521" t="s">
        <v>27</v>
      </c>
      <c r="O521">
        <v>1296136.6100000001</v>
      </c>
      <c r="P521" t="s">
        <v>84</v>
      </c>
      <c r="Q521" t="s">
        <v>8</v>
      </c>
      <c r="R521">
        <v>109278002</v>
      </c>
      <c r="S521">
        <v>109278002</v>
      </c>
      <c r="T521">
        <v>109278002</v>
      </c>
      <c r="U521" t="s">
        <v>85</v>
      </c>
      <c r="V521" t="s">
        <v>28</v>
      </c>
    </row>
    <row r="522" spans="1:22" x14ac:dyDescent="0.25">
      <c r="A522">
        <v>41466468310</v>
      </c>
      <c r="B522" t="s">
        <v>10</v>
      </c>
      <c r="C522" t="s">
        <v>193</v>
      </c>
      <c r="D522">
        <v>41466468310</v>
      </c>
      <c r="E522" s="1">
        <v>46216.561366215275</v>
      </c>
      <c r="F522">
        <v>115</v>
      </c>
      <c r="G522">
        <v>3</v>
      </c>
      <c r="H522" t="s">
        <v>49</v>
      </c>
      <c r="I522" t="s">
        <v>5</v>
      </c>
      <c r="J522" t="s">
        <v>6</v>
      </c>
      <c r="K522">
        <v>58219401</v>
      </c>
      <c r="L522">
        <v>230580</v>
      </c>
      <c r="M522">
        <v>41000</v>
      </c>
      <c r="N522" t="s">
        <v>7</v>
      </c>
      <c r="O522">
        <v>529125.35</v>
      </c>
      <c r="P522" t="s">
        <v>86</v>
      </c>
      <c r="Q522" t="s">
        <v>8</v>
      </c>
      <c r="R522">
        <v>135057461</v>
      </c>
      <c r="S522">
        <v>135057461</v>
      </c>
      <c r="T522">
        <v>135057461</v>
      </c>
      <c r="U522" t="s">
        <v>87</v>
      </c>
      <c r="V522" t="s">
        <v>15</v>
      </c>
    </row>
    <row r="523" spans="1:22" x14ac:dyDescent="0.25">
      <c r="A523">
        <v>41466461015</v>
      </c>
      <c r="B523" t="s">
        <v>10</v>
      </c>
      <c r="C523" t="s">
        <v>193</v>
      </c>
      <c r="D523">
        <v>41466461015</v>
      </c>
      <c r="E523" s="1">
        <v>46216.558741689812</v>
      </c>
      <c r="F523">
        <v>115</v>
      </c>
      <c r="G523">
        <v>3</v>
      </c>
      <c r="H523" t="s">
        <v>49</v>
      </c>
      <c r="I523" t="s">
        <v>5</v>
      </c>
      <c r="J523" t="s">
        <v>6</v>
      </c>
      <c r="K523">
        <v>58219401</v>
      </c>
      <c r="L523">
        <v>230580</v>
      </c>
      <c r="M523">
        <v>60000</v>
      </c>
      <c r="N523" t="s">
        <v>7</v>
      </c>
      <c r="O523">
        <v>774329.78</v>
      </c>
      <c r="P523" t="s">
        <v>86</v>
      </c>
      <c r="Q523" t="s">
        <v>8</v>
      </c>
      <c r="R523">
        <v>135057461</v>
      </c>
      <c r="S523">
        <v>135057461</v>
      </c>
      <c r="T523">
        <v>135057461</v>
      </c>
      <c r="U523" t="s">
        <v>87</v>
      </c>
      <c r="V523" t="s">
        <v>15</v>
      </c>
    </row>
    <row r="524" spans="1:22" x14ac:dyDescent="0.25">
      <c r="A524">
        <v>41466102155</v>
      </c>
      <c r="B524" t="s">
        <v>10</v>
      </c>
      <c r="C524" t="s">
        <v>193</v>
      </c>
      <c r="D524">
        <v>41466102155</v>
      </c>
      <c r="E524" s="1">
        <v>46216.432652754629</v>
      </c>
      <c r="F524">
        <v>115</v>
      </c>
      <c r="G524">
        <v>3</v>
      </c>
      <c r="H524" t="s">
        <v>48</v>
      </c>
      <c r="I524" t="s">
        <v>5</v>
      </c>
      <c r="J524" t="s">
        <v>6</v>
      </c>
      <c r="K524">
        <v>95453348</v>
      </c>
      <c r="L524">
        <v>401263</v>
      </c>
      <c r="M524">
        <v>20000</v>
      </c>
      <c r="N524" t="s">
        <v>7</v>
      </c>
      <c r="O524">
        <v>258109.93</v>
      </c>
      <c r="P524" t="s">
        <v>120</v>
      </c>
      <c r="Q524" t="s">
        <v>8</v>
      </c>
      <c r="R524">
        <v>104667308</v>
      </c>
      <c r="S524">
        <v>104667308</v>
      </c>
      <c r="T524">
        <v>104667308</v>
      </c>
      <c r="U524" t="s">
        <v>121</v>
      </c>
      <c r="V524" t="s">
        <v>43</v>
      </c>
    </row>
    <row r="525" spans="1:22" x14ac:dyDescent="0.25">
      <c r="A525">
        <v>41467610090</v>
      </c>
      <c r="B525" t="s">
        <v>10</v>
      </c>
      <c r="C525" t="s">
        <v>193</v>
      </c>
      <c r="D525">
        <v>41467610090</v>
      </c>
      <c r="E525" s="1">
        <v>46217.429068738427</v>
      </c>
      <c r="F525">
        <v>115</v>
      </c>
      <c r="G525">
        <v>3</v>
      </c>
      <c r="H525" t="s">
        <v>218</v>
      </c>
      <c r="I525" t="s">
        <v>5</v>
      </c>
      <c r="J525" t="s">
        <v>6</v>
      </c>
      <c r="K525">
        <v>22050994</v>
      </c>
      <c r="L525">
        <v>401262</v>
      </c>
      <c r="M525">
        <v>10000</v>
      </c>
      <c r="N525" t="s">
        <v>7</v>
      </c>
      <c r="O525">
        <v>129054.96</v>
      </c>
      <c r="P525" t="s">
        <v>219</v>
      </c>
      <c r="Q525" t="s">
        <v>11</v>
      </c>
      <c r="R525">
        <v>109609511</v>
      </c>
      <c r="S525">
        <v>109609511</v>
      </c>
      <c r="T525">
        <v>109609511</v>
      </c>
      <c r="U525" t="s">
        <v>220</v>
      </c>
      <c r="V525" t="s">
        <v>15</v>
      </c>
    </row>
    <row r="526" spans="1:22" x14ac:dyDescent="0.25">
      <c r="A526">
        <v>41469879563</v>
      </c>
      <c r="B526" t="s">
        <v>10</v>
      </c>
      <c r="C526" t="s">
        <v>193</v>
      </c>
      <c r="D526">
        <v>41469879563</v>
      </c>
      <c r="E526" s="1">
        <v>46218.678969502318</v>
      </c>
      <c r="F526">
        <v>115</v>
      </c>
      <c r="G526">
        <v>3</v>
      </c>
      <c r="H526" t="s">
        <v>4</v>
      </c>
      <c r="I526" t="s">
        <v>5</v>
      </c>
      <c r="J526" t="s">
        <v>6</v>
      </c>
      <c r="K526">
        <v>51971044</v>
      </c>
      <c r="L526">
        <v>406301</v>
      </c>
      <c r="M526">
        <v>19995</v>
      </c>
      <c r="N526" t="s">
        <v>7</v>
      </c>
      <c r="O526">
        <v>258045.42</v>
      </c>
      <c r="P526" t="s">
        <v>88</v>
      </c>
      <c r="Q526" t="s">
        <v>11</v>
      </c>
      <c r="R526">
        <v>92286806</v>
      </c>
      <c r="S526">
        <v>92286806</v>
      </c>
      <c r="T526">
        <v>92286806</v>
      </c>
      <c r="U526" t="s">
        <v>89</v>
      </c>
      <c r="V526" t="s">
        <v>90</v>
      </c>
    </row>
    <row r="527" spans="1:22" x14ac:dyDescent="0.25">
      <c r="A527">
        <v>41469450367</v>
      </c>
      <c r="B527" t="s">
        <v>10</v>
      </c>
      <c r="C527" t="s">
        <v>193</v>
      </c>
      <c r="D527">
        <v>41469450367</v>
      </c>
      <c r="E527" s="1">
        <v>46218.527323796297</v>
      </c>
      <c r="F527">
        <v>115</v>
      </c>
      <c r="G527">
        <v>3</v>
      </c>
      <c r="H527" t="s">
        <v>4</v>
      </c>
      <c r="I527" t="s">
        <v>5</v>
      </c>
      <c r="J527" t="s">
        <v>6</v>
      </c>
      <c r="K527">
        <v>91459589</v>
      </c>
      <c r="L527">
        <v>406437</v>
      </c>
      <c r="M527">
        <v>20000</v>
      </c>
      <c r="N527" t="s">
        <v>7</v>
      </c>
      <c r="O527">
        <v>258109.93</v>
      </c>
      <c r="P527" t="s">
        <v>122</v>
      </c>
      <c r="Q527" t="s">
        <v>8</v>
      </c>
      <c r="R527">
        <v>116609553</v>
      </c>
      <c r="S527">
        <v>116609553</v>
      </c>
      <c r="T527">
        <v>116609553</v>
      </c>
      <c r="U527" t="s">
        <v>123</v>
      </c>
      <c r="V527" t="s">
        <v>9</v>
      </c>
    </row>
    <row r="528" spans="1:22" x14ac:dyDescent="0.25">
      <c r="A528">
        <v>41469373194</v>
      </c>
      <c r="B528" t="s">
        <v>10</v>
      </c>
      <c r="C528" t="s">
        <v>193</v>
      </c>
      <c r="D528">
        <v>41469373194</v>
      </c>
      <c r="E528" s="1">
        <v>46218.500676041665</v>
      </c>
      <c r="F528">
        <v>115</v>
      </c>
      <c r="G528">
        <v>3</v>
      </c>
      <c r="H528" t="s">
        <v>175</v>
      </c>
      <c r="I528" t="s">
        <v>5</v>
      </c>
      <c r="J528" t="s">
        <v>6</v>
      </c>
      <c r="K528">
        <v>91378988</v>
      </c>
      <c r="L528">
        <v>403416</v>
      </c>
      <c r="M528">
        <v>76990</v>
      </c>
      <c r="N528" t="s">
        <v>7</v>
      </c>
      <c r="O528">
        <v>993594.11</v>
      </c>
      <c r="P528" t="s">
        <v>176</v>
      </c>
      <c r="Q528" t="s">
        <v>8</v>
      </c>
      <c r="R528">
        <v>148071459</v>
      </c>
      <c r="S528">
        <v>148071459</v>
      </c>
      <c r="T528">
        <v>148071459</v>
      </c>
      <c r="U528" t="s">
        <v>177</v>
      </c>
      <c r="V528" t="s">
        <v>178</v>
      </c>
    </row>
    <row r="529" spans="1:22" x14ac:dyDescent="0.25">
      <c r="A529">
        <v>41472246859</v>
      </c>
      <c r="B529" t="s">
        <v>2</v>
      </c>
      <c r="C529" t="s">
        <v>193</v>
      </c>
      <c r="D529">
        <v>41472246859</v>
      </c>
      <c r="E529" s="1">
        <v>46219.743704224536</v>
      </c>
      <c r="F529">
        <v>69</v>
      </c>
      <c r="G529">
        <v>3</v>
      </c>
      <c r="H529" t="s">
        <v>91</v>
      </c>
      <c r="I529" t="s">
        <v>5</v>
      </c>
      <c r="J529" t="s">
        <v>6</v>
      </c>
      <c r="K529">
        <v>10030747</v>
      </c>
      <c r="L529">
        <v>161923</v>
      </c>
      <c r="M529">
        <v>250000</v>
      </c>
      <c r="N529" t="s">
        <v>7</v>
      </c>
      <c r="O529">
        <v>3226373.98</v>
      </c>
      <c r="P529" t="s">
        <v>146</v>
      </c>
      <c r="Q529" t="s">
        <v>8</v>
      </c>
      <c r="R529">
        <v>107560732</v>
      </c>
      <c r="S529">
        <v>107560732</v>
      </c>
      <c r="T529">
        <v>107560732</v>
      </c>
      <c r="U529" t="s">
        <v>93</v>
      </c>
      <c r="V529" t="s">
        <v>9</v>
      </c>
    </row>
    <row r="530" spans="1:22" x14ac:dyDescent="0.25">
      <c r="A530">
        <v>41472245890</v>
      </c>
      <c r="B530" t="s">
        <v>10</v>
      </c>
      <c r="C530" t="s">
        <v>193</v>
      </c>
      <c r="D530">
        <v>41472245890</v>
      </c>
      <c r="E530" s="1">
        <v>46219.743692951386</v>
      </c>
      <c r="F530">
        <v>115</v>
      </c>
      <c r="G530">
        <v>3</v>
      </c>
      <c r="H530" t="s">
        <v>91</v>
      </c>
      <c r="I530" t="s">
        <v>5</v>
      </c>
      <c r="J530" t="s">
        <v>6</v>
      </c>
      <c r="K530">
        <v>10030747</v>
      </c>
      <c r="L530">
        <v>161923</v>
      </c>
      <c r="M530">
        <v>17000</v>
      </c>
      <c r="N530" t="s">
        <v>7</v>
      </c>
      <c r="O530">
        <v>219393.44</v>
      </c>
      <c r="P530" t="s">
        <v>92</v>
      </c>
      <c r="Q530" t="s">
        <v>8</v>
      </c>
      <c r="R530">
        <v>107560732</v>
      </c>
      <c r="S530">
        <v>107560732</v>
      </c>
      <c r="T530">
        <v>107560732</v>
      </c>
      <c r="U530" t="s">
        <v>93</v>
      </c>
      <c r="V530" t="s">
        <v>9</v>
      </c>
    </row>
    <row r="531" spans="1:22" x14ac:dyDescent="0.25">
      <c r="A531">
        <v>41473974572</v>
      </c>
      <c r="B531" t="s">
        <v>10</v>
      </c>
      <c r="C531" t="s">
        <v>193</v>
      </c>
      <c r="D531">
        <v>41473974572</v>
      </c>
      <c r="E531" s="1">
        <v>46220.77032113426</v>
      </c>
      <c r="F531">
        <v>115</v>
      </c>
      <c r="G531">
        <v>3</v>
      </c>
      <c r="H531" t="s">
        <v>4</v>
      </c>
      <c r="I531" t="s">
        <v>5</v>
      </c>
      <c r="J531" t="s">
        <v>6</v>
      </c>
      <c r="K531">
        <v>63246516</v>
      </c>
      <c r="L531">
        <v>608407</v>
      </c>
      <c r="M531">
        <v>90000</v>
      </c>
      <c r="N531" t="s">
        <v>7</v>
      </c>
      <c r="O531">
        <v>1161494.57</v>
      </c>
      <c r="P531" t="s">
        <v>94</v>
      </c>
      <c r="Q531" t="s">
        <v>8</v>
      </c>
      <c r="R531">
        <v>123075137</v>
      </c>
      <c r="S531">
        <v>123075137</v>
      </c>
      <c r="T531">
        <v>123075137</v>
      </c>
      <c r="U531" t="s">
        <v>95</v>
      </c>
      <c r="V531" t="s">
        <v>9</v>
      </c>
    </row>
    <row r="532" spans="1:22" x14ac:dyDescent="0.25">
      <c r="A532">
        <v>41474001223</v>
      </c>
      <c r="B532" t="s">
        <v>106</v>
      </c>
      <c r="C532" t="s">
        <v>193</v>
      </c>
      <c r="D532">
        <v>41474001223</v>
      </c>
      <c r="E532" s="1">
        <v>46220.782353946757</v>
      </c>
      <c r="F532">
        <v>69</v>
      </c>
      <c r="G532">
        <v>3</v>
      </c>
      <c r="H532" t="s">
        <v>91</v>
      </c>
      <c r="I532" t="s">
        <v>5</v>
      </c>
      <c r="J532" t="s">
        <v>6</v>
      </c>
      <c r="K532">
        <v>10030747</v>
      </c>
      <c r="L532">
        <v>161923</v>
      </c>
      <c r="M532">
        <v>250000</v>
      </c>
      <c r="N532" t="s">
        <v>7</v>
      </c>
      <c r="O532">
        <v>3226373.98</v>
      </c>
      <c r="P532" t="s">
        <v>146</v>
      </c>
      <c r="Q532" t="s">
        <v>8</v>
      </c>
      <c r="R532">
        <v>107560732</v>
      </c>
      <c r="S532">
        <v>107560732</v>
      </c>
      <c r="T532">
        <v>107560732</v>
      </c>
      <c r="U532" t="s">
        <v>93</v>
      </c>
      <c r="V532" t="s">
        <v>9</v>
      </c>
    </row>
    <row r="533" spans="1:22" x14ac:dyDescent="0.25">
      <c r="A533">
        <v>41473841513</v>
      </c>
      <c r="B533" t="s">
        <v>10</v>
      </c>
      <c r="C533" t="s">
        <v>193</v>
      </c>
      <c r="D533">
        <v>41473841513</v>
      </c>
      <c r="E533" s="1">
        <v>46220.716874965277</v>
      </c>
      <c r="F533">
        <v>115</v>
      </c>
      <c r="G533">
        <v>3</v>
      </c>
      <c r="H533" t="s">
        <v>4</v>
      </c>
      <c r="I533" t="s">
        <v>5</v>
      </c>
      <c r="J533" t="s">
        <v>6</v>
      </c>
      <c r="K533">
        <v>24040801</v>
      </c>
      <c r="L533">
        <v>40605</v>
      </c>
      <c r="M533">
        <v>13329.74</v>
      </c>
      <c r="N533" t="s">
        <v>7</v>
      </c>
      <c r="O533">
        <v>172026.88</v>
      </c>
      <c r="P533" t="s">
        <v>147</v>
      </c>
      <c r="Q533" t="s">
        <v>8</v>
      </c>
      <c r="R533">
        <v>128132131</v>
      </c>
      <c r="S533">
        <v>128132131</v>
      </c>
      <c r="T533">
        <v>128132131</v>
      </c>
      <c r="U533" t="s">
        <v>148</v>
      </c>
      <c r="V533" t="s">
        <v>9</v>
      </c>
    </row>
    <row r="534" spans="1:22" x14ac:dyDescent="0.25">
      <c r="A534">
        <v>41473748681</v>
      </c>
      <c r="B534" t="s">
        <v>10</v>
      </c>
      <c r="C534" t="s">
        <v>193</v>
      </c>
      <c r="D534">
        <v>41473748681</v>
      </c>
      <c r="E534" s="1">
        <v>46220.681090787039</v>
      </c>
      <c r="F534">
        <v>115</v>
      </c>
      <c r="G534">
        <v>3</v>
      </c>
      <c r="H534" t="s">
        <v>4</v>
      </c>
      <c r="I534" t="s">
        <v>5</v>
      </c>
      <c r="J534" t="s">
        <v>6</v>
      </c>
      <c r="K534">
        <v>63246516</v>
      </c>
      <c r="L534">
        <v>608407</v>
      </c>
      <c r="M534">
        <v>10000</v>
      </c>
      <c r="N534" t="s">
        <v>7</v>
      </c>
      <c r="O534">
        <v>129054.96</v>
      </c>
      <c r="P534" t="s">
        <v>94</v>
      </c>
      <c r="Q534" t="s">
        <v>8</v>
      </c>
      <c r="R534">
        <v>123075137</v>
      </c>
      <c r="S534">
        <v>123075137</v>
      </c>
      <c r="T534">
        <v>123075137</v>
      </c>
      <c r="U534" t="s">
        <v>95</v>
      </c>
      <c r="V534" t="s">
        <v>9</v>
      </c>
    </row>
    <row r="535" spans="1:22" x14ac:dyDescent="0.25">
      <c r="A535">
        <v>41473658022</v>
      </c>
      <c r="B535" t="s">
        <v>10</v>
      </c>
      <c r="C535" t="s">
        <v>193</v>
      </c>
      <c r="D535">
        <v>41473658022</v>
      </c>
      <c r="E535" s="1">
        <v>46220.647986539348</v>
      </c>
      <c r="F535">
        <v>115</v>
      </c>
      <c r="G535">
        <v>3</v>
      </c>
      <c r="H535" t="s">
        <v>4</v>
      </c>
      <c r="I535" t="s">
        <v>5</v>
      </c>
      <c r="J535" t="s">
        <v>6</v>
      </c>
      <c r="K535">
        <v>62629753</v>
      </c>
      <c r="L535">
        <v>608407</v>
      </c>
      <c r="M535">
        <v>10000</v>
      </c>
      <c r="N535" t="s">
        <v>7</v>
      </c>
      <c r="O535">
        <v>129054.96</v>
      </c>
      <c r="P535" t="s">
        <v>96</v>
      </c>
      <c r="Q535" t="s">
        <v>11</v>
      </c>
      <c r="R535">
        <v>118960145</v>
      </c>
      <c r="S535">
        <v>118960145</v>
      </c>
      <c r="T535">
        <v>118960145</v>
      </c>
      <c r="U535" t="s">
        <v>97</v>
      </c>
      <c r="V535" t="s">
        <v>9</v>
      </c>
    </row>
    <row r="536" spans="1:22" x14ac:dyDescent="0.25">
      <c r="A536">
        <v>41473704457</v>
      </c>
      <c r="B536" t="s">
        <v>10</v>
      </c>
      <c r="C536" t="s">
        <v>193</v>
      </c>
      <c r="D536">
        <v>41473704457</v>
      </c>
      <c r="E536" s="1">
        <v>46220.664305046295</v>
      </c>
      <c r="F536">
        <v>115</v>
      </c>
      <c r="G536">
        <v>3</v>
      </c>
      <c r="H536" t="s">
        <v>4</v>
      </c>
      <c r="I536" t="s">
        <v>5</v>
      </c>
      <c r="J536" t="s">
        <v>6</v>
      </c>
      <c r="K536">
        <v>26406586</v>
      </c>
      <c r="L536">
        <v>608456</v>
      </c>
      <c r="M536">
        <v>85000</v>
      </c>
      <c r="N536" t="s">
        <v>7</v>
      </c>
      <c r="O536">
        <v>1096967.19</v>
      </c>
      <c r="P536" t="s">
        <v>98</v>
      </c>
      <c r="Q536" t="s">
        <v>8</v>
      </c>
      <c r="R536">
        <v>96716188</v>
      </c>
      <c r="S536">
        <v>96716188</v>
      </c>
      <c r="T536">
        <v>96716188</v>
      </c>
      <c r="U536" t="s">
        <v>99</v>
      </c>
      <c r="V536" t="s">
        <v>9</v>
      </c>
    </row>
    <row r="537" spans="1:22" x14ac:dyDescent="0.25">
      <c r="A537">
        <v>41473431379</v>
      </c>
      <c r="B537" t="s">
        <v>2</v>
      </c>
      <c r="C537" t="s">
        <v>193</v>
      </c>
      <c r="D537">
        <v>41473431379</v>
      </c>
      <c r="E537" s="1">
        <v>46220.570453796296</v>
      </c>
      <c r="F537">
        <v>115</v>
      </c>
      <c r="G537">
        <v>3</v>
      </c>
      <c r="H537" t="s">
        <v>4</v>
      </c>
      <c r="I537" t="s">
        <v>5</v>
      </c>
      <c r="J537" t="s">
        <v>6</v>
      </c>
      <c r="K537">
        <v>45057828</v>
      </c>
      <c r="L537">
        <v>609204</v>
      </c>
      <c r="M537">
        <v>25000</v>
      </c>
      <c r="N537" t="s">
        <v>7</v>
      </c>
      <c r="O537">
        <v>322637.40999999997</v>
      </c>
      <c r="P537" t="s">
        <v>184</v>
      </c>
      <c r="Q537" t="s">
        <v>8</v>
      </c>
      <c r="R537">
        <v>113366470</v>
      </c>
      <c r="S537">
        <v>113366470</v>
      </c>
      <c r="T537">
        <v>113366470</v>
      </c>
      <c r="U537" t="s">
        <v>182</v>
      </c>
      <c r="V537" t="s">
        <v>183</v>
      </c>
    </row>
    <row r="538" spans="1:22" x14ac:dyDescent="0.25">
      <c r="A538">
        <v>41473429686</v>
      </c>
      <c r="B538" t="s">
        <v>2</v>
      </c>
      <c r="C538" t="s">
        <v>193</v>
      </c>
      <c r="D538">
        <v>41473429686</v>
      </c>
      <c r="E538" s="1">
        <v>46220.569962905094</v>
      </c>
      <c r="F538">
        <v>115</v>
      </c>
      <c r="G538">
        <v>3</v>
      </c>
      <c r="H538" t="s">
        <v>4</v>
      </c>
      <c r="I538" t="s">
        <v>5</v>
      </c>
      <c r="J538" t="s">
        <v>6</v>
      </c>
      <c r="K538">
        <v>45103897</v>
      </c>
      <c r="L538">
        <v>609204</v>
      </c>
      <c r="M538">
        <v>25000</v>
      </c>
      <c r="N538" t="s">
        <v>7</v>
      </c>
      <c r="O538">
        <v>322637.40999999997</v>
      </c>
      <c r="P538" t="s">
        <v>181</v>
      </c>
      <c r="Q538" t="s">
        <v>8</v>
      </c>
      <c r="R538">
        <v>113366470</v>
      </c>
      <c r="S538">
        <v>113366470</v>
      </c>
      <c r="T538">
        <v>113366470</v>
      </c>
      <c r="U538" t="s">
        <v>182</v>
      </c>
      <c r="V538" t="s">
        <v>183</v>
      </c>
    </row>
    <row r="539" spans="1:22" x14ac:dyDescent="0.25">
      <c r="A539">
        <v>41472853048</v>
      </c>
      <c r="B539" t="s">
        <v>10</v>
      </c>
      <c r="C539" t="s">
        <v>193</v>
      </c>
      <c r="D539">
        <v>41472853048</v>
      </c>
      <c r="E539" s="1">
        <v>46220.375604907407</v>
      </c>
      <c r="F539">
        <v>115</v>
      </c>
      <c r="G539">
        <v>3</v>
      </c>
      <c r="H539" t="s">
        <v>221</v>
      </c>
      <c r="I539" t="s">
        <v>5</v>
      </c>
      <c r="J539" t="s">
        <v>6</v>
      </c>
      <c r="K539">
        <v>51470736</v>
      </c>
      <c r="L539">
        <v>401160</v>
      </c>
      <c r="M539">
        <v>10000</v>
      </c>
      <c r="N539" t="s">
        <v>7</v>
      </c>
      <c r="O539">
        <v>129054.96</v>
      </c>
      <c r="P539" t="s">
        <v>222</v>
      </c>
      <c r="Q539" t="s">
        <v>11</v>
      </c>
      <c r="R539">
        <v>105165419</v>
      </c>
      <c r="S539">
        <v>105165419</v>
      </c>
      <c r="T539">
        <v>105165419</v>
      </c>
      <c r="U539" t="s">
        <v>223</v>
      </c>
      <c r="V539" t="s">
        <v>9</v>
      </c>
    </row>
    <row r="540" spans="1:22" x14ac:dyDescent="0.25">
      <c r="A540">
        <v>41475226924</v>
      </c>
      <c r="B540" t="s">
        <v>10</v>
      </c>
      <c r="C540" t="s">
        <v>193</v>
      </c>
      <c r="D540">
        <v>41475226924</v>
      </c>
      <c r="E540" s="1">
        <v>46221.686187812498</v>
      </c>
      <c r="F540">
        <v>115</v>
      </c>
      <c r="G540">
        <v>3</v>
      </c>
      <c r="H540" t="s">
        <v>4</v>
      </c>
      <c r="I540" t="s">
        <v>5</v>
      </c>
      <c r="J540" t="s">
        <v>6</v>
      </c>
      <c r="K540">
        <v>24510889</v>
      </c>
      <c r="L540">
        <v>230163</v>
      </c>
      <c r="M540">
        <v>10000</v>
      </c>
      <c r="N540" t="s">
        <v>7</v>
      </c>
      <c r="O540">
        <v>129054.96</v>
      </c>
      <c r="P540" t="s">
        <v>188</v>
      </c>
      <c r="Q540" t="s">
        <v>8</v>
      </c>
      <c r="R540">
        <v>115686289</v>
      </c>
      <c r="S540">
        <v>115686289</v>
      </c>
      <c r="T540">
        <v>115686289</v>
      </c>
      <c r="U540" t="s">
        <v>189</v>
      </c>
      <c r="V540" t="s">
        <v>15</v>
      </c>
    </row>
    <row r="541" spans="1:22" x14ac:dyDescent="0.25">
      <c r="A541">
        <v>41478263799</v>
      </c>
      <c r="B541" t="s">
        <v>10</v>
      </c>
      <c r="C541" t="s">
        <v>193</v>
      </c>
      <c r="D541">
        <v>41478263799</v>
      </c>
      <c r="E541" s="1">
        <v>46223.716971319445</v>
      </c>
      <c r="F541">
        <v>115</v>
      </c>
      <c r="G541">
        <v>3</v>
      </c>
      <c r="H541" t="s">
        <v>224</v>
      </c>
      <c r="I541" t="s">
        <v>5</v>
      </c>
      <c r="J541" t="s">
        <v>6</v>
      </c>
      <c r="K541">
        <v>10273093</v>
      </c>
      <c r="L541">
        <v>160039</v>
      </c>
      <c r="M541">
        <v>30000</v>
      </c>
      <c r="N541" t="s">
        <v>7</v>
      </c>
      <c r="O541">
        <v>389545.21</v>
      </c>
      <c r="P541" t="s">
        <v>225</v>
      </c>
      <c r="Q541" t="s">
        <v>8</v>
      </c>
      <c r="R541">
        <v>112593520</v>
      </c>
      <c r="S541">
        <v>112593520</v>
      </c>
      <c r="T541">
        <v>112593520</v>
      </c>
      <c r="U541" t="s">
        <v>226</v>
      </c>
      <c r="V541" t="s">
        <v>9</v>
      </c>
    </row>
    <row r="542" spans="1:22" x14ac:dyDescent="0.25">
      <c r="A542">
        <v>41480028554</v>
      </c>
      <c r="B542" t="s">
        <v>10</v>
      </c>
      <c r="C542" t="s">
        <v>193</v>
      </c>
      <c r="D542">
        <v>41480028554</v>
      </c>
      <c r="E542" s="1">
        <v>46224.750596863429</v>
      </c>
      <c r="F542">
        <v>115</v>
      </c>
      <c r="G542">
        <v>3</v>
      </c>
      <c r="H542" t="s">
        <v>4</v>
      </c>
      <c r="I542" t="s">
        <v>5</v>
      </c>
      <c r="J542" t="s">
        <v>6</v>
      </c>
      <c r="K542">
        <v>58200138</v>
      </c>
      <c r="L542">
        <v>608407</v>
      </c>
      <c r="M542">
        <v>50000</v>
      </c>
      <c r="N542" t="s">
        <v>7</v>
      </c>
      <c r="O542">
        <v>649241.99</v>
      </c>
      <c r="P542" t="s">
        <v>100</v>
      </c>
      <c r="Q542" t="s">
        <v>8</v>
      </c>
      <c r="R542">
        <v>105353056</v>
      </c>
      <c r="S542">
        <v>105353056</v>
      </c>
      <c r="T542">
        <v>105353056</v>
      </c>
      <c r="U542" t="s">
        <v>101</v>
      </c>
      <c r="V542" t="s">
        <v>9</v>
      </c>
    </row>
    <row r="543" spans="1:22" x14ac:dyDescent="0.25">
      <c r="A543">
        <v>41479581129</v>
      </c>
      <c r="B543" t="s">
        <v>10</v>
      </c>
      <c r="C543" t="s">
        <v>193</v>
      </c>
      <c r="D543">
        <v>41479581129</v>
      </c>
      <c r="E543" s="1">
        <v>46224.589946030093</v>
      </c>
      <c r="F543">
        <v>69</v>
      </c>
      <c r="G543">
        <v>3</v>
      </c>
      <c r="H543" t="s">
        <v>4</v>
      </c>
      <c r="I543" t="s">
        <v>5</v>
      </c>
      <c r="J543" t="s">
        <v>6</v>
      </c>
      <c r="K543">
        <v>31682626</v>
      </c>
      <c r="L543">
        <v>40075</v>
      </c>
      <c r="M543">
        <v>1280000</v>
      </c>
      <c r="N543" t="s">
        <v>7</v>
      </c>
      <c r="O543">
        <v>16620595.1</v>
      </c>
      <c r="P543" t="s">
        <v>127</v>
      </c>
      <c r="Q543" t="s">
        <v>8</v>
      </c>
      <c r="R543">
        <v>113290936</v>
      </c>
      <c r="S543">
        <v>113290936</v>
      </c>
      <c r="T543">
        <v>113290936</v>
      </c>
      <c r="U543" t="s">
        <v>41</v>
      </c>
      <c r="V543" t="s">
        <v>9</v>
      </c>
    </row>
    <row r="544" spans="1:22" x14ac:dyDescent="0.25">
      <c r="A544">
        <v>41479518456</v>
      </c>
      <c r="B544" t="s">
        <v>10</v>
      </c>
      <c r="C544" t="s">
        <v>193</v>
      </c>
      <c r="D544">
        <v>41479518456</v>
      </c>
      <c r="E544" s="1">
        <v>46224.569612673607</v>
      </c>
      <c r="F544">
        <v>69</v>
      </c>
      <c r="G544">
        <v>3</v>
      </c>
      <c r="H544" t="s">
        <v>143</v>
      </c>
      <c r="I544" t="s">
        <v>5</v>
      </c>
      <c r="J544" t="s">
        <v>6</v>
      </c>
      <c r="K544">
        <v>24993780</v>
      </c>
      <c r="L544">
        <v>403232</v>
      </c>
      <c r="M544">
        <v>690000</v>
      </c>
      <c r="N544" t="s">
        <v>7</v>
      </c>
      <c r="O544">
        <v>8959539.5399999991</v>
      </c>
      <c r="P544" t="s">
        <v>164</v>
      </c>
      <c r="Q544" t="s">
        <v>8</v>
      </c>
      <c r="R544">
        <v>105434856</v>
      </c>
      <c r="S544">
        <v>105434856</v>
      </c>
      <c r="T544">
        <v>105434856</v>
      </c>
      <c r="U544" t="s">
        <v>165</v>
      </c>
      <c r="V544" t="s">
        <v>47</v>
      </c>
    </row>
    <row r="545" spans="1:22" x14ac:dyDescent="0.25">
      <c r="A545">
        <v>41479117936</v>
      </c>
      <c r="B545" t="s">
        <v>10</v>
      </c>
      <c r="C545" t="s">
        <v>193</v>
      </c>
      <c r="D545">
        <v>41479117936</v>
      </c>
      <c r="E545" s="1">
        <v>46224.434061215281</v>
      </c>
      <c r="F545">
        <v>115</v>
      </c>
      <c r="G545">
        <v>3</v>
      </c>
      <c r="H545" t="s">
        <v>102</v>
      </c>
      <c r="I545" t="s">
        <v>5</v>
      </c>
      <c r="J545" t="s">
        <v>6</v>
      </c>
      <c r="K545">
        <v>13228536</v>
      </c>
      <c r="L545">
        <v>89103</v>
      </c>
      <c r="M545">
        <v>20000</v>
      </c>
      <c r="N545" t="s">
        <v>7</v>
      </c>
      <c r="O545">
        <v>259696.78</v>
      </c>
      <c r="P545" t="s">
        <v>103</v>
      </c>
      <c r="Q545" t="s">
        <v>11</v>
      </c>
      <c r="R545">
        <v>115108789</v>
      </c>
      <c r="S545">
        <v>115108789</v>
      </c>
      <c r="T545">
        <v>115108789</v>
      </c>
      <c r="U545" t="s">
        <v>104</v>
      </c>
      <c r="V545" t="s">
        <v>105</v>
      </c>
    </row>
    <row r="546" spans="1:22" x14ac:dyDescent="0.25">
      <c r="A546">
        <v>41478880110</v>
      </c>
      <c r="B546" t="s">
        <v>10</v>
      </c>
      <c r="C546" t="s">
        <v>193</v>
      </c>
      <c r="D546">
        <v>41478880110</v>
      </c>
      <c r="E546" s="1">
        <v>46224.311177662035</v>
      </c>
      <c r="F546">
        <v>115</v>
      </c>
      <c r="G546">
        <v>3</v>
      </c>
      <c r="H546" t="s">
        <v>4</v>
      </c>
      <c r="I546" t="s">
        <v>5</v>
      </c>
      <c r="J546" t="s">
        <v>6</v>
      </c>
      <c r="K546">
        <v>52565298</v>
      </c>
      <c r="L546">
        <v>406301</v>
      </c>
      <c r="M546">
        <v>10000</v>
      </c>
      <c r="N546" t="s">
        <v>7</v>
      </c>
      <c r="O546">
        <v>129848.44</v>
      </c>
      <c r="P546" t="s">
        <v>229</v>
      </c>
      <c r="Q546" t="s">
        <v>11</v>
      </c>
      <c r="R546">
        <v>117666032</v>
      </c>
      <c r="S546">
        <v>117666032</v>
      </c>
      <c r="T546">
        <v>117666032</v>
      </c>
      <c r="U546" t="s">
        <v>228</v>
      </c>
      <c r="V546" t="s">
        <v>63</v>
      </c>
    </row>
    <row r="547" spans="1:22" x14ac:dyDescent="0.25">
      <c r="A547">
        <v>41478879309</v>
      </c>
      <c r="B547" t="s">
        <v>10</v>
      </c>
      <c r="C547" t="s">
        <v>193</v>
      </c>
      <c r="D547">
        <v>41478879309</v>
      </c>
      <c r="E547" s="1">
        <v>46224.310119525464</v>
      </c>
      <c r="F547">
        <v>115</v>
      </c>
      <c r="G547">
        <v>3</v>
      </c>
      <c r="H547" t="s">
        <v>4</v>
      </c>
      <c r="I547" t="s">
        <v>5</v>
      </c>
      <c r="J547" t="s">
        <v>6</v>
      </c>
      <c r="K547">
        <v>52566295</v>
      </c>
      <c r="L547">
        <v>406301</v>
      </c>
      <c r="M547">
        <v>10000</v>
      </c>
      <c r="N547" t="s">
        <v>7</v>
      </c>
      <c r="O547">
        <v>129848.44</v>
      </c>
      <c r="P547" t="s">
        <v>227</v>
      </c>
      <c r="Q547" t="s">
        <v>11</v>
      </c>
      <c r="R547">
        <v>117666032</v>
      </c>
      <c r="S547">
        <v>117666032</v>
      </c>
      <c r="T547">
        <v>117666032</v>
      </c>
      <c r="U547" t="s">
        <v>228</v>
      </c>
      <c r="V547" t="s">
        <v>63</v>
      </c>
    </row>
    <row r="548" spans="1:22" x14ac:dyDescent="0.25">
      <c r="A548">
        <v>41481570256</v>
      </c>
      <c r="B548" t="s">
        <v>10</v>
      </c>
      <c r="C548" t="s">
        <v>193</v>
      </c>
      <c r="D548">
        <v>41481570256</v>
      </c>
      <c r="E548" s="1">
        <v>46225.710885405089</v>
      </c>
      <c r="F548">
        <v>115</v>
      </c>
      <c r="G548">
        <v>3</v>
      </c>
      <c r="H548" t="s">
        <v>4</v>
      </c>
      <c r="I548" t="s">
        <v>5</v>
      </c>
      <c r="J548" t="s">
        <v>6</v>
      </c>
      <c r="K548">
        <v>22119270</v>
      </c>
      <c r="L548">
        <v>70806</v>
      </c>
      <c r="M548">
        <v>19990</v>
      </c>
      <c r="N548" t="s">
        <v>7</v>
      </c>
      <c r="O548">
        <v>259566.93</v>
      </c>
      <c r="P548" t="s">
        <v>230</v>
      </c>
      <c r="Q548" t="s">
        <v>11</v>
      </c>
      <c r="R548">
        <v>107906554</v>
      </c>
      <c r="S548">
        <v>107906554</v>
      </c>
      <c r="T548">
        <v>107906554</v>
      </c>
      <c r="U548" t="s">
        <v>231</v>
      </c>
      <c r="V548" t="s">
        <v>9</v>
      </c>
    </row>
    <row r="549" spans="1:22" x14ac:dyDescent="0.25">
      <c r="A549">
        <v>41483476521</v>
      </c>
      <c r="B549" t="s">
        <v>10</v>
      </c>
      <c r="C549" t="s">
        <v>193</v>
      </c>
      <c r="D549">
        <v>41483476521</v>
      </c>
      <c r="E549" s="1">
        <v>46226.79846204861</v>
      </c>
      <c r="F549">
        <v>115</v>
      </c>
      <c r="G549">
        <v>3</v>
      </c>
      <c r="H549" t="s">
        <v>332</v>
      </c>
      <c r="I549" t="s">
        <v>5</v>
      </c>
      <c r="J549" t="s">
        <v>6</v>
      </c>
      <c r="K549">
        <v>54045382</v>
      </c>
      <c r="L549">
        <v>608371</v>
      </c>
      <c r="M549">
        <v>19999</v>
      </c>
      <c r="N549" t="s">
        <v>7</v>
      </c>
      <c r="O549">
        <v>259683.84</v>
      </c>
      <c r="P549" t="s">
        <v>356</v>
      </c>
      <c r="Q549" t="s">
        <v>11</v>
      </c>
      <c r="R549">
        <v>121654297</v>
      </c>
      <c r="S549">
        <v>121654297</v>
      </c>
      <c r="T549">
        <v>121654297</v>
      </c>
      <c r="U549" t="s">
        <v>357</v>
      </c>
      <c r="V549" t="s">
        <v>15</v>
      </c>
    </row>
    <row r="550" spans="1:22" x14ac:dyDescent="0.25">
      <c r="A550">
        <v>41483449086</v>
      </c>
      <c r="B550" t="s">
        <v>10</v>
      </c>
      <c r="C550" t="s">
        <v>193</v>
      </c>
      <c r="D550">
        <v>41483449086</v>
      </c>
      <c r="E550" s="1">
        <v>46226.786784791664</v>
      </c>
      <c r="F550">
        <v>115</v>
      </c>
      <c r="G550">
        <v>3</v>
      </c>
      <c r="H550" t="s">
        <v>4</v>
      </c>
      <c r="I550" t="s">
        <v>5</v>
      </c>
      <c r="J550" t="s">
        <v>6</v>
      </c>
      <c r="K550">
        <v>21750060</v>
      </c>
      <c r="L550">
        <v>230163</v>
      </c>
      <c r="M550">
        <v>24000</v>
      </c>
      <c r="N550" t="s">
        <v>7</v>
      </c>
      <c r="O550">
        <v>311636.15000000002</v>
      </c>
      <c r="P550" t="s">
        <v>79</v>
      </c>
      <c r="Q550" t="s">
        <v>8</v>
      </c>
      <c r="R550">
        <v>110207412</v>
      </c>
      <c r="S550">
        <v>110207412</v>
      </c>
      <c r="T550">
        <v>110207412</v>
      </c>
      <c r="U550" t="s">
        <v>358</v>
      </c>
      <c r="V550" t="s">
        <v>9</v>
      </c>
    </row>
    <row r="551" spans="1:22" x14ac:dyDescent="0.25">
      <c r="A551">
        <v>41483437207</v>
      </c>
      <c r="B551" t="s">
        <v>10</v>
      </c>
      <c r="C551" t="s">
        <v>193</v>
      </c>
      <c r="D551">
        <v>41483437207</v>
      </c>
      <c r="E551" s="1">
        <v>46226.782014652781</v>
      </c>
      <c r="F551">
        <v>115</v>
      </c>
      <c r="G551">
        <v>3</v>
      </c>
      <c r="H551" t="s">
        <v>4</v>
      </c>
      <c r="I551" t="s">
        <v>5</v>
      </c>
      <c r="J551" t="s">
        <v>6</v>
      </c>
      <c r="K551">
        <v>54088624</v>
      </c>
      <c r="L551">
        <v>90643</v>
      </c>
      <c r="M551">
        <v>75000</v>
      </c>
      <c r="N551" t="s">
        <v>7</v>
      </c>
      <c r="O551">
        <v>973862.99</v>
      </c>
      <c r="P551" t="s">
        <v>281</v>
      </c>
      <c r="Q551" t="s">
        <v>8</v>
      </c>
      <c r="R551">
        <v>108965344</v>
      </c>
      <c r="S551">
        <v>108965344</v>
      </c>
      <c r="T551">
        <v>108965344</v>
      </c>
      <c r="U551" t="s">
        <v>282</v>
      </c>
      <c r="V551" t="s">
        <v>9</v>
      </c>
    </row>
    <row r="552" spans="1:22" x14ac:dyDescent="0.25">
      <c r="A552">
        <v>41483254891</v>
      </c>
      <c r="B552" t="s">
        <v>10</v>
      </c>
      <c r="C552" t="s">
        <v>193</v>
      </c>
      <c r="D552">
        <v>41483254891</v>
      </c>
      <c r="E552" s="1">
        <v>46226.731042407409</v>
      </c>
      <c r="F552">
        <v>115</v>
      </c>
      <c r="G552">
        <v>3</v>
      </c>
      <c r="H552" t="s">
        <v>4</v>
      </c>
      <c r="I552" t="s">
        <v>5</v>
      </c>
      <c r="J552" t="s">
        <v>6</v>
      </c>
      <c r="K552">
        <v>73114139</v>
      </c>
      <c r="L552">
        <v>406437</v>
      </c>
      <c r="M552">
        <v>100000</v>
      </c>
      <c r="N552" t="s">
        <v>7</v>
      </c>
      <c r="O552">
        <v>1298483.98</v>
      </c>
      <c r="P552" t="s">
        <v>36</v>
      </c>
      <c r="Q552" t="s">
        <v>8</v>
      </c>
      <c r="R552">
        <v>119228773</v>
      </c>
      <c r="S552">
        <v>119228773</v>
      </c>
      <c r="T552">
        <v>119228773</v>
      </c>
      <c r="U552" t="s">
        <v>37</v>
      </c>
      <c r="V552" t="s">
        <v>15</v>
      </c>
    </row>
    <row r="553" spans="1:22" x14ac:dyDescent="0.25">
      <c r="A553">
        <v>41483244960</v>
      </c>
      <c r="B553" t="s">
        <v>106</v>
      </c>
      <c r="C553" t="s">
        <v>193</v>
      </c>
      <c r="D553">
        <v>41483244960</v>
      </c>
      <c r="E553" s="1">
        <v>46226.727365856481</v>
      </c>
      <c r="F553">
        <v>115</v>
      </c>
      <c r="G553">
        <v>3</v>
      </c>
      <c r="H553" t="s">
        <v>4</v>
      </c>
      <c r="I553" t="s">
        <v>5</v>
      </c>
      <c r="J553" t="s">
        <v>6</v>
      </c>
      <c r="K553">
        <v>17554591</v>
      </c>
      <c r="L553">
        <v>40339</v>
      </c>
      <c r="M553">
        <v>50000</v>
      </c>
      <c r="N553" t="s">
        <v>7</v>
      </c>
      <c r="O553">
        <v>649241.99</v>
      </c>
      <c r="P553" t="s">
        <v>107</v>
      </c>
      <c r="Q553" t="s">
        <v>8</v>
      </c>
      <c r="R553">
        <v>105870745</v>
      </c>
      <c r="S553">
        <v>105870745</v>
      </c>
      <c r="T553">
        <v>105870745</v>
      </c>
      <c r="U553" t="s">
        <v>108</v>
      </c>
      <c r="V553" t="s">
        <v>9</v>
      </c>
    </row>
    <row r="554" spans="1:22" x14ac:dyDescent="0.25">
      <c r="A554">
        <v>41483063386</v>
      </c>
      <c r="B554" t="s">
        <v>2</v>
      </c>
      <c r="C554" t="s">
        <v>193</v>
      </c>
      <c r="D554">
        <v>41483063386</v>
      </c>
      <c r="E554" s="1">
        <v>46226.662101180555</v>
      </c>
      <c r="F554">
        <v>115</v>
      </c>
      <c r="G554">
        <v>3</v>
      </c>
      <c r="H554" t="s">
        <v>4</v>
      </c>
      <c r="I554" t="s">
        <v>5</v>
      </c>
      <c r="J554" t="s">
        <v>6</v>
      </c>
      <c r="K554">
        <v>83372888</v>
      </c>
      <c r="L554">
        <v>608407</v>
      </c>
      <c r="M554">
        <v>80000</v>
      </c>
      <c r="N554" t="s">
        <v>7</v>
      </c>
      <c r="O554">
        <v>1038787.21</v>
      </c>
      <c r="P554" t="s">
        <v>38</v>
      </c>
      <c r="Q554" t="s">
        <v>8</v>
      </c>
      <c r="R554">
        <v>122720485</v>
      </c>
      <c r="S554">
        <v>122720485</v>
      </c>
      <c r="T554">
        <v>122720485</v>
      </c>
      <c r="U554" t="s">
        <v>39</v>
      </c>
      <c r="V554" t="s">
        <v>9</v>
      </c>
    </row>
    <row r="555" spans="1:22" x14ac:dyDescent="0.25">
      <c r="A555">
        <v>41482548652</v>
      </c>
      <c r="B555" t="s">
        <v>10</v>
      </c>
      <c r="C555" t="s">
        <v>193</v>
      </c>
      <c r="D555">
        <v>41482548652</v>
      </c>
      <c r="E555" s="1">
        <v>46226.492796134262</v>
      </c>
      <c r="F555">
        <v>115</v>
      </c>
      <c r="G555">
        <v>3</v>
      </c>
      <c r="H555" t="s">
        <v>20</v>
      </c>
      <c r="I555" t="s">
        <v>5</v>
      </c>
      <c r="J555" t="s">
        <v>6</v>
      </c>
      <c r="K555">
        <v>13139066</v>
      </c>
      <c r="L555">
        <v>804887</v>
      </c>
      <c r="M555">
        <v>90000</v>
      </c>
      <c r="N555" t="s">
        <v>7</v>
      </c>
      <c r="O555">
        <v>1168635.6399999999</v>
      </c>
      <c r="P555" t="s">
        <v>21</v>
      </c>
      <c r="Q555" t="s">
        <v>8</v>
      </c>
      <c r="R555">
        <v>135198109</v>
      </c>
      <c r="S555">
        <v>135198109</v>
      </c>
      <c r="T555">
        <v>135198109</v>
      </c>
      <c r="U555" t="s">
        <v>22</v>
      </c>
      <c r="V555" t="s">
        <v>15</v>
      </c>
    </row>
    <row r="556" spans="1:22" x14ac:dyDescent="0.25">
      <c r="A556">
        <v>41486314200</v>
      </c>
      <c r="B556" t="s">
        <v>10</v>
      </c>
      <c r="C556" t="s">
        <v>193</v>
      </c>
      <c r="D556">
        <v>41486314200</v>
      </c>
      <c r="E556" s="1">
        <v>46227.900999699072</v>
      </c>
      <c r="F556">
        <v>115</v>
      </c>
      <c r="G556">
        <v>3</v>
      </c>
      <c r="H556" t="s">
        <v>332</v>
      </c>
      <c r="I556" t="s">
        <v>5</v>
      </c>
      <c r="J556" t="s">
        <v>6</v>
      </c>
      <c r="K556">
        <v>45899059</v>
      </c>
      <c r="L556">
        <v>608371</v>
      </c>
      <c r="M556">
        <v>9999</v>
      </c>
      <c r="N556" t="s">
        <v>7</v>
      </c>
      <c r="O556">
        <v>129835.4</v>
      </c>
      <c r="P556" t="s">
        <v>359</v>
      </c>
      <c r="Q556" t="s">
        <v>8</v>
      </c>
      <c r="R556">
        <v>108407800</v>
      </c>
      <c r="S556">
        <v>108407800</v>
      </c>
      <c r="T556">
        <v>108407800</v>
      </c>
      <c r="U556" t="s">
        <v>360</v>
      </c>
      <c r="V556" t="s">
        <v>15</v>
      </c>
    </row>
    <row r="557" spans="1:22" x14ac:dyDescent="0.25">
      <c r="A557">
        <v>41486213067</v>
      </c>
      <c r="B557" t="s">
        <v>2</v>
      </c>
      <c r="C557" t="s">
        <v>193</v>
      </c>
      <c r="D557">
        <v>41486213067</v>
      </c>
      <c r="E557" s="1">
        <v>46227.852821099536</v>
      </c>
      <c r="F557">
        <v>115</v>
      </c>
      <c r="G557">
        <v>3</v>
      </c>
      <c r="H557" t="s">
        <v>4</v>
      </c>
      <c r="I557" t="s">
        <v>5</v>
      </c>
      <c r="J557" t="s">
        <v>6</v>
      </c>
      <c r="K557">
        <v>26180505</v>
      </c>
      <c r="L557">
        <v>608407</v>
      </c>
      <c r="M557">
        <v>100000</v>
      </c>
      <c r="N557" t="s">
        <v>7</v>
      </c>
      <c r="O557">
        <v>1298483.98</v>
      </c>
      <c r="P557" t="s">
        <v>216</v>
      </c>
      <c r="Q557" t="s">
        <v>8</v>
      </c>
      <c r="R557">
        <v>126118058</v>
      </c>
      <c r="S557">
        <v>126118058</v>
      </c>
      <c r="T557">
        <v>126118058</v>
      </c>
      <c r="U557" t="s">
        <v>264</v>
      </c>
      <c r="V557" t="s">
        <v>15</v>
      </c>
    </row>
    <row r="558" spans="1:22" x14ac:dyDescent="0.25">
      <c r="A558">
        <v>41486224304</v>
      </c>
      <c r="B558" t="s">
        <v>2</v>
      </c>
      <c r="C558" t="s">
        <v>193</v>
      </c>
      <c r="D558">
        <v>41486224304</v>
      </c>
      <c r="E558" s="1">
        <v>46227.857881863427</v>
      </c>
      <c r="F558">
        <v>115</v>
      </c>
      <c r="G558">
        <v>3</v>
      </c>
      <c r="H558" t="s">
        <v>4</v>
      </c>
      <c r="I558" t="s">
        <v>5</v>
      </c>
      <c r="J558" t="s">
        <v>6</v>
      </c>
      <c r="K558">
        <v>26180505</v>
      </c>
      <c r="L558">
        <v>608407</v>
      </c>
      <c r="M558">
        <v>100000</v>
      </c>
      <c r="N558" t="s">
        <v>7</v>
      </c>
      <c r="O558">
        <v>1298483.98</v>
      </c>
      <c r="P558" t="s">
        <v>265</v>
      </c>
      <c r="Q558" t="s">
        <v>8</v>
      </c>
      <c r="R558">
        <v>126118058</v>
      </c>
      <c r="S558">
        <v>126118058</v>
      </c>
      <c r="T558">
        <v>126118058</v>
      </c>
      <c r="U558" t="s">
        <v>264</v>
      </c>
      <c r="V558" t="s">
        <v>15</v>
      </c>
    </row>
    <row r="559" spans="1:22" x14ac:dyDescent="0.25">
      <c r="A559">
        <v>41486216916</v>
      </c>
      <c r="B559" t="s">
        <v>2</v>
      </c>
      <c r="C559" t="s">
        <v>193</v>
      </c>
      <c r="D559">
        <v>41486216916</v>
      </c>
      <c r="E559" s="1">
        <v>46227.854579432867</v>
      </c>
      <c r="F559">
        <v>115</v>
      </c>
      <c r="G559">
        <v>3</v>
      </c>
      <c r="H559" t="s">
        <v>4</v>
      </c>
      <c r="I559" t="s">
        <v>5</v>
      </c>
      <c r="J559" t="s">
        <v>6</v>
      </c>
      <c r="K559">
        <v>26180505</v>
      </c>
      <c r="L559">
        <v>608407</v>
      </c>
      <c r="M559">
        <v>100000</v>
      </c>
      <c r="N559" t="s">
        <v>7</v>
      </c>
      <c r="O559">
        <v>1298483.98</v>
      </c>
      <c r="P559" t="s">
        <v>216</v>
      </c>
      <c r="Q559" t="s">
        <v>8</v>
      </c>
      <c r="R559">
        <v>126118058</v>
      </c>
      <c r="S559">
        <v>126118058</v>
      </c>
      <c r="T559">
        <v>126118058</v>
      </c>
      <c r="U559" t="s">
        <v>264</v>
      </c>
      <c r="V559" t="s">
        <v>15</v>
      </c>
    </row>
    <row r="560" spans="1:22" x14ac:dyDescent="0.25">
      <c r="A560">
        <v>41486220957</v>
      </c>
      <c r="B560" t="s">
        <v>2</v>
      </c>
      <c r="C560" t="s">
        <v>193</v>
      </c>
      <c r="D560">
        <v>41486220957</v>
      </c>
      <c r="E560" s="1">
        <v>46227.856335497687</v>
      </c>
      <c r="F560">
        <v>115</v>
      </c>
      <c r="G560">
        <v>3</v>
      </c>
      <c r="H560" t="s">
        <v>4</v>
      </c>
      <c r="I560" t="s">
        <v>5</v>
      </c>
      <c r="J560" t="s">
        <v>6</v>
      </c>
      <c r="K560">
        <v>26180505</v>
      </c>
      <c r="L560">
        <v>608407</v>
      </c>
      <c r="M560">
        <v>100000</v>
      </c>
      <c r="N560" t="s">
        <v>7</v>
      </c>
      <c r="O560">
        <v>1298483.98</v>
      </c>
      <c r="P560" t="s">
        <v>265</v>
      </c>
      <c r="Q560" t="s">
        <v>8</v>
      </c>
      <c r="R560">
        <v>126118058</v>
      </c>
      <c r="S560">
        <v>126118058</v>
      </c>
      <c r="T560">
        <v>126118058</v>
      </c>
      <c r="U560" t="s">
        <v>264</v>
      </c>
      <c r="V560" t="s">
        <v>15</v>
      </c>
    </row>
    <row r="561" spans="1:22" x14ac:dyDescent="0.25">
      <c r="A561">
        <v>41485691443</v>
      </c>
      <c r="B561" t="s">
        <v>10</v>
      </c>
      <c r="C561" t="s">
        <v>193</v>
      </c>
      <c r="D561">
        <v>41485691443</v>
      </c>
      <c r="E561" s="1">
        <v>46227.673347314812</v>
      </c>
      <c r="F561">
        <v>115</v>
      </c>
      <c r="G561">
        <v>3</v>
      </c>
      <c r="H561" t="s">
        <v>4</v>
      </c>
      <c r="I561" t="s">
        <v>5</v>
      </c>
      <c r="J561" t="s">
        <v>6</v>
      </c>
      <c r="K561">
        <v>81635056</v>
      </c>
      <c r="L561">
        <v>406437</v>
      </c>
      <c r="M561">
        <v>50000</v>
      </c>
      <c r="N561" t="s">
        <v>7</v>
      </c>
      <c r="O561">
        <v>649241.99</v>
      </c>
      <c r="P561" t="s">
        <v>351</v>
      </c>
      <c r="Q561" t="s">
        <v>8</v>
      </c>
      <c r="R561">
        <v>121862155</v>
      </c>
      <c r="S561">
        <v>121862155</v>
      </c>
      <c r="T561">
        <v>121862155</v>
      </c>
      <c r="U561" t="s">
        <v>352</v>
      </c>
      <c r="V561" t="s">
        <v>9</v>
      </c>
    </row>
    <row r="562" spans="1:22" x14ac:dyDescent="0.25">
      <c r="A562">
        <v>41485012879</v>
      </c>
      <c r="B562" t="s">
        <v>10</v>
      </c>
      <c r="C562" t="s">
        <v>193</v>
      </c>
      <c r="D562">
        <v>41485012879</v>
      </c>
      <c r="E562" s="1">
        <v>46227.512197685188</v>
      </c>
      <c r="F562">
        <v>115</v>
      </c>
      <c r="G562">
        <v>3</v>
      </c>
      <c r="H562" t="s">
        <v>4</v>
      </c>
      <c r="I562" t="s">
        <v>5</v>
      </c>
      <c r="J562" t="s">
        <v>6</v>
      </c>
      <c r="K562">
        <v>71561241</v>
      </c>
      <c r="L562">
        <v>608407</v>
      </c>
      <c r="M562">
        <v>10000</v>
      </c>
      <c r="N562" t="s">
        <v>7</v>
      </c>
      <c r="O562">
        <v>129848.44</v>
      </c>
      <c r="P562" t="s">
        <v>283</v>
      </c>
      <c r="Q562" t="s">
        <v>11</v>
      </c>
      <c r="R562">
        <v>126877208</v>
      </c>
      <c r="S562">
        <v>126877208</v>
      </c>
      <c r="T562">
        <v>126877208</v>
      </c>
      <c r="U562" t="s">
        <v>284</v>
      </c>
      <c r="V562" t="s">
        <v>15</v>
      </c>
    </row>
    <row r="563" spans="1:22" x14ac:dyDescent="0.25">
      <c r="A563">
        <v>41484745502</v>
      </c>
      <c r="B563" t="s">
        <v>10</v>
      </c>
      <c r="C563" t="s">
        <v>193</v>
      </c>
      <c r="D563">
        <v>41484745502</v>
      </c>
      <c r="E563" s="1">
        <v>46227.455853298612</v>
      </c>
      <c r="F563">
        <v>115</v>
      </c>
      <c r="G563">
        <v>3</v>
      </c>
      <c r="H563" t="s">
        <v>332</v>
      </c>
      <c r="I563" t="s">
        <v>5</v>
      </c>
      <c r="J563" t="s">
        <v>6</v>
      </c>
      <c r="K563">
        <v>54045382</v>
      </c>
      <c r="L563">
        <v>608371</v>
      </c>
      <c r="M563">
        <v>20000</v>
      </c>
      <c r="N563" t="s">
        <v>7</v>
      </c>
      <c r="O563">
        <v>259696.78</v>
      </c>
      <c r="P563" t="s">
        <v>356</v>
      </c>
      <c r="Q563" t="s">
        <v>11</v>
      </c>
      <c r="R563">
        <v>121654297</v>
      </c>
      <c r="S563">
        <v>121654297</v>
      </c>
      <c r="T563">
        <v>121654297</v>
      </c>
      <c r="U563" t="s">
        <v>357</v>
      </c>
      <c r="V563" t="s">
        <v>15</v>
      </c>
    </row>
    <row r="564" spans="1:22" x14ac:dyDescent="0.25">
      <c r="A564">
        <v>41484393904</v>
      </c>
      <c r="B564" t="s">
        <v>10</v>
      </c>
      <c r="C564" t="s">
        <v>193</v>
      </c>
      <c r="D564">
        <v>41484393904</v>
      </c>
      <c r="E564" s="1">
        <v>46227.383739363424</v>
      </c>
      <c r="F564">
        <v>115</v>
      </c>
      <c r="G564">
        <v>3</v>
      </c>
      <c r="H564" t="s">
        <v>4</v>
      </c>
      <c r="I564" t="s">
        <v>5</v>
      </c>
      <c r="J564" t="s">
        <v>6</v>
      </c>
      <c r="K564">
        <v>71561241</v>
      </c>
      <c r="L564">
        <v>608407</v>
      </c>
      <c r="M564">
        <v>10000</v>
      </c>
      <c r="N564" t="s">
        <v>7</v>
      </c>
      <c r="O564">
        <v>129848.44</v>
      </c>
      <c r="P564" t="s">
        <v>283</v>
      </c>
      <c r="Q564" t="s">
        <v>11</v>
      </c>
      <c r="R564">
        <v>126877208</v>
      </c>
      <c r="S564">
        <v>126877208</v>
      </c>
      <c r="T564">
        <v>126877208</v>
      </c>
      <c r="U564" t="s">
        <v>284</v>
      </c>
      <c r="V564" t="s">
        <v>15</v>
      </c>
    </row>
    <row r="565" spans="1:22" x14ac:dyDescent="0.25">
      <c r="A565">
        <v>41486930261</v>
      </c>
      <c r="B565" t="s">
        <v>10</v>
      </c>
      <c r="C565" t="s">
        <v>193</v>
      </c>
      <c r="D565">
        <v>41486930261</v>
      </c>
      <c r="E565" s="1">
        <v>46228.492198680557</v>
      </c>
      <c r="F565">
        <v>115</v>
      </c>
      <c r="G565">
        <v>3</v>
      </c>
      <c r="H565" t="s">
        <v>4</v>
      </c>
      <c r="I565" t="s">
        <v>5</v>
      </c>
      <c r="J565" t="s">
        <v>6</v>
      </c>
      <c r="K565">
        <v>31084765</v>
      </c>
      <c r="L565">
        <v>608407</v>
      </c>
      <c r="M565">
        <v>20000</v>
      </c>
      <c r="N565" t="s">
        <v>7</v>
      </c>
      <c r="O565">
        <v>259696.78</v>
      </c>
      <c r="P565" t="s">
        <v>361</v>
      </c>
      <c r="Q565" t="s">
        <v>11</v>
      </c>
      <c r="R565">
        <v>138513494</v>
      </c>
      <c r="S565">
        <v>138513494</v>
      </c>
      <c r="T565">
        <v>138513494</v>
      </c>
      <c r="U565" t="s">
        <v>362</v>
      </c>
      <c r="V565" t="s">
        <v>15</v>
      </c>
    </row>
    <row r="566" spans="1:22" x14ac:dyDescent="0.25">
      <c r="A566">
        <v>41488362553</v>
      </c>
      <c r="B566" t="s">
        <v>10</v>
      </c>
      <c r="C566" t="s">
        <v>193</v>
      </c>
      <c r="D566">
        <v>41488362553</v>
      </c>
      <c r="E566" s="1">
        <v>46229.419012523147</v>
      </c>
      <c r="F566">
        <v>115</v>
      </c>
      <c r="G566">
        <v>3</v>
      </c>
      <c r="H566" t="s">
        <v>4</v>
      </c>
      <c r="I566" t="s">
        <v>5</v>
      </c>
      <c r="J566" t="s">
        <v>6</v>
      </c>
      <c r="K566">
        <v>12647717</v>
      </c>
      <c r="L566">
        <v>608407</v>
      </c>
      <c r="M566">
        <v>75000</v>
      </c>
      <c r="N566" t="s">
        <v>7</v>
      </c>
      <c r="O566">
        <v>973862.99</v>
      </c>
      <c r="P566" t="s">
        <v>353</v>
      </c>
      <c r="Q566" t="s">
        <v>8</v>
      </c>
      <c r="R566">
        <v>116134032</v>
      </c>
      <c r="S566">
        <v>116134032</v>
      </c>
      <c r="T566">
        <v>116134032</v>
      </c>
      <c r="U566" t="s">
        <v>354</v>
      </c>
      <c r="V566" t="s">
        <v>15</v>
      </c>
    </row>
    <row r="567" spans="1:22" x14ac:dyDescent="0.25">
      <c r="A567">
        <v>41491853854</v>
      </c>
      <c r="B567" t="s">
        <v>10</v>
      </c>
      <c r="C567" t="s">
        <v>193</v>
      </c>
      <c r="D567">
        <v>41491853854</v>
      </c>
      <c r="E567" s="1">
        <v>46230.916262395833</v>
      </c>
      <c r="F567">
        <v>115</v>
      </c>
      <c r="G567">
        <v>3</v>
      </c>
      <c r="H567" t="s">
        <v>363</v>
      </c>
      <c r="I567" t="s">
        <v>5</v>
      </c>
      <c r="J567" t="s">
        <v>6</v>
      </c>
      <c r="K567">
        <v>25874586</v>
      </c>
      <c r="L567">
        <v>501029</v>
      </c>
      <c r="M567">
        <v>16999</v>
      </c>
      <c r="N567" t="s">
        <v>7</v>
      </c>
      <c r="O567">
        <v>220729.31</v>
      </c>
      <c r="P567" t="s">
        <v>44</v>
      </c>
      <c r="Q567" t="s">
        <v>11</v>
      </c>
      <c r="R567">
        <v>129901054</v>
      </c>
      <c r="S567">
        <v>129901054</v>
      </c>
      <c r="T567">
        <v>129901054</v>
      </c>
      <c r="U567" t="s">
        <v>14</v>
      </c>
      <c r="V567" t="s">
        <v>15</v>
      </c>
    </row>
    <row r="568" spans="1:22" x14ac:dyDescent="0.25">
      <c r="A568">
        <v>41491748052</v>
      </c>
      <c r="B568" t="s">
        <v>10</v>
      </c>
      <c r="C568" t="s">
        <v>193</v>
      </c>
      <c r="D568">
        <v>41491748052</v>
      </c>
      <c r="E568" s="1">
        <v>46230.86792837963</v>
      </c>
      <c r="F568">
        <v>115</v>
      </c>
      <c r="G568">
        <v>3</v>
      </c>
      <c r="H568" t="s">
        <v>4</v>
      </c>
      <c r="I568" t="s">
        <v>5</v>
      </c>
      <c r="J568" t="s">
        <v>6</v>
      </c>
      <c r="K568">
        <v>28050318</v>
      </c>
      <c r="L568">
        <v>230163</v>
      </c>
      <c r="M568">
        <v>11000</v>
      </c>
      <c r="N568" t="s">
        <v>7</v>
      </c>
      <c r="O568">
        <v>142833.28</v>
      </c>
      <c r="P568" t="s">
        <v>270</v>
      </c>
      <c r="Q568" t="s">
        <v>11</v>
      </c>
      <c r="R568">
        <v>123896391</v>
      </c>
      <c r="S568">
        <v>123896391</v>
      </c>
      <c r="T568">
        <v>123896391</v>
      </c>
      <c r="U568" t="s">
        <v>46</v>
      </c>
      <c r="V568" t="s">
        <v>9</v>
      </c>
    </row>
    <row r="569" spans="1:22" x14ac:dyDescent="0.25">
      <c r="A569">
        <v>41493575842</v>
      </c>
      <c r="B569" t="s">
        <v>10</v>
      </c>
      <c r="C569" t="s">
        <v>193</v>
      </c>
      <c r="D569">
        <v>41493575842</v>
      </c>
      <c r="E569" s="1">
        <v>46231.883915451392</v>
      </c>
      <c r="F569">
        <v>115</v>
      </c>
      <c r="G569">
        <v>3</v>
      </c>
      <c r="H569" t="s">
        <v>4</v>
      </c>
      <c r="I569" t="s">
        <v>5</v>
      </c>
      <c r="J569" t="s">
        <v>6</v>
      </c>
      <c r="K569">
        <v>13117510</v>
      </c>
      <c r="L569">
        <v>608407</v>
      </c>
      <c r="M569">
        <v>100000</v>
      </c>
      <c r="N569" t="s">
        <v>7</v>
      </c>
      <c r="O569">
        <v>1298483.98</v>
      </c>
      <c r="P569" t="s">
        <v>268</v>
      </c>
      <c r="Q569" t="s">
        <v>8</v>
      </c>
      <c r="R569">
        <v>119625572</v>
      </c>
      <c r="S569">
        <v>119625572</v>
      </c>
      <c r="T569">
        <v>119625572</v>
      </c>
      <c r="U569" t="s">
        <v>269</v>
      </c>
      <c r="V569" t="s">
        <v>9</v>
      </c>
    </row>
    <row r="570" spans="1:22" x14ac:dyDescent="0.25">
      <c r="A570">
        <v>41492875280</v>
      </c>
      <c r="B570" t="s">
        <v>10</v>
      </c>
      <c r="C570" t="s">
        <v>193</v>
      </c>
      <c r="D570">
        <v>41492875280</v>
      </c>
      <c r="E570" s="1">
        <v>46231.613631250002</v>
      </c>
      <c r="F570">
        <v>115</v>
      </c>
      <c r="G570">
        <v>3</v>
      </c>
      <c r="H570" t="s">
        <v>4</v>
      </c>
      <c r="I570" t="s">
        <v>5</v>
      </c>
      <c r="J570" t="s">
        <v>6</v>
      </c>
      <c r="K570">
        <v>93115724</v>
      </c>
      <c r="L570">
        <v>609204</v>
      </c>
      <c r="M570">
        <v>80000</v>
      </c>
      <c r="N570" t="s">
        <v>7</v>
      </c>
      <c r="O570">
        <v>1038787.21</v>
      </c>
      <c r="P570" t="s">
        <v>285</v>
      </c>
      <c r="Q570" t="s">
        <v>8</v>
      </c>
      <c r="R570">
        <v>140114752</v>
      </c>
      <c r="S570">
        <v>140114752</v>
      </c>
      <c r="T570">
        <v>140114752</v>
      </c>
      <c r="U570" t="s">
        <v>286</v>
      </c>
      <c r="V570" t="s">
        <v>9</v>
      </c>
    </row>
    <row r="571" spans="1:22" x14ac:dyDescent="0.25">
      <c r="A571">
        <v>41492391683</v>
      </c>
      <c r="B571" t="s">
        <v>10</v>
      </c>
      <c r="C571" t="s">
        <v>193</v>
      </c>
      <c r="D571">
        <v>41492391683</v>
      </c>
      <c r="E571" s="1">
        <v>46231.455869675927</v>
      </c>
      <c r="F571">
        <v>115</v>
      </c>
      <c r="G571">
        <v>3</v>
      </c>
      <c r="H571" t="s">
        <v>4</v>
      </c>
      <c r="I571" t="s">
        <v>5</v>
      </c>
      <c r="J571" t="s">
        <v>6</v>
      </c>
      <c r="K571">
        <v>43255473</v>
      </c>
      <c r="L571">
        <v>608407</v>
      </c>
      <c r="M571">
        <v>25000</v>
      </c>
      <c r="N571" t="s">
        <v>7</v>
      </c>
      <c r="O571">
        <v>324621</v>
      </c>
      <c r="P571" t="s">
        <v>323</v>
      </c>
      <c r="Q571" t="s">
        <v>8</v>
      </c>
      <c r="R571">
        <v>115377780</v>
      </c>
      <c r="S571">
        <v>115377780</v>
      </c>
      <c r="T571">
        <v>115377780</v>
      </c>
      <c r="U571" t="s">
        <v>324</v>
      </c>
      <c r="V571" t="s">
        <v>15</v>
      </c>
    </row>
    <row r="572" spans="1:22" x14ac:dyDescent="0.25">
      <c r="A572">
        <v>41492221395</v>
      </c>
      <c r="B572" t="s">
        <v>10</v>
      </c>
      <c r="C572" t="s">
        <v>193</v>
      </c>
      <c r="D572">
        <v>41492221395</v>
      </c>
      <c r="E572" s="1">
        <v>46231.394030416668</v>
      </c>
      <c r="F572">
        <v>115</v>
      </c>
      <c r="G572">
        <v>3</v>
      </c>
      <c r="H572" t="s">
        <v>4</v>
      </c>
      <c r="I572" t="s">
        <v>5</v>
      </c>
      <c r="J572" t="s">
        <v>6</v>
      </c>
      <c r="K572">
        <v>93707121</v>
      </c>
      <c r="L572">
        <v>205312</v>
      </c>
      <c r="M572">
        <v>10000</v>
      </c>
      <c r="N572" t="s">
        <v>7</v>
      </c>
      <c r="O572">
        <v>129848.44</v>
      </c>
      <c r="P572" t="s">
        <v>364</v>
      </c>
      <c r="Q572" t="s">
        <v>11</v>
      </c>
      <c r="R572">
        <v>126603778</v>
      </c>
      <c r="S572">
        <v>126603778</v>
      </c>
      <c r="T572">
        <v>126603778</v>
      </c>
      <c r="U572" t="s">
        <v>365</v>
      </c>
      <c r="V572" t="s">
        <v>366</v>
      </c>
    </row>
    <row r="573" spans="1:22" x14ac:dyDescent="0.25">
      <c r="A573">
        <v>41492198980</v>
      </c>
      <c r="B573" t="s">
        <v>10</v>
      </c>
      <c r="C573" t="s">
        <v>193</v>
      </c>
      <c r="D573">
        <v>41492198980</v>
      </c>
      <c r="E573" s="1">
        <v>46231.38441121528</v>
      </c>
      <c r="F573">
        <v>115</v>
      </c>
      <c r="G573">
        <v>3</v>
      </c>
      <c r="H573" t="s">
        <v>4</v>
      </c>
      <c r="I573" t="s">
        <v>5</v>
      </c>
      <c r="J573" t="s">
        <v>6</v>
      </c>
      <c r="K573">
        <v>61021382</v>
      </c>
      <c r="L573">
        <v>406437</v>
      </c>
      <c r="M573">
        <v>20000</v>
      </c>
      <c r="N573" t="s">
        <v>7</v>
      </c>
      <c r="O573">
        <v>259696.78</v>
      </c>
      <c r="P573" t="s">
        <v>287</v>
      </c>
      <c r="Q573" t="s">
        <v>11</v>
      </c>
      <c r="R573">
        <v>113115232</v>
      </c>
      <c r="S573">
        <v>113115232</v>
      </c>
      <c r="T573">
        <v>113115232</v>
      </c>
      <c r="U573" t="s">
        <v>288</v>
      </c>
      <c r="V573" t="s">
        <v>289</v>
      </c>
    </row>
    <row r="574" spans="1:22" x14ac:dyDescent="0.25">
      <c r="A574">
        <v>41492150475</v>
      </c>
      <c r="B574" t="s">
        <v>10</v>
      </c>
      <c r="C574" t="s">
        <v>193</v>
      </c>
      <c r="D574">
        <v>41492150475</v>
      </c>
      <c r="E574" s="1">
        <v>46231.361758356485</v>
      </c>
      <c r="F574">
        <v>115</v>
      </c>
      <c r="G574">
        <v>3</v>
      </c>
      <c r="H574" t="s">
        <v>4</v>
      </c>
      <c r="I574" t="s">
        <v>5</v>
      </c>
      <c r="J574" t="s">
        <v>6</v>
      </c>
      <c r="K574">
        <v>93707121</v>
      </c>
      <c r="L574">
        <v>205312</v>
      </c>
      <c r="M574">
        <v>10000</v>
      </c>
      <c r="N574" t="s">
        <v>7</v>
      </c>
      <c r="O574">
        <v>129848.44</v>
      </c>
      <c r="P574" t="s">
        <v>367</v>
      </c>
      <c r="Q574" t="s">
        <v>11</v>
      </c>
      <c r="R574">
        <v>128003720</v>
      </c>
      <c r="S574">
        <v>128003720</v>
      </c>
      <c r="T574">
        <v>128003720</v>
      </c>
      <c r="U574" t="s">
        <v>368</v>
      </c>
      <c r="V574" t="s">
        <v>369</v>
      </c>
    </row>
    <row r="575" spans="1:22" x14ac:dyDescent="0.25">
      <c r="A575">
        <v>41492029854</v>
      </c>
      <c r="B575" t="s">
        <v>10</v>
      </c>
      <c r="C575" t="s">
        <v>193</v>
      </c>
      <c r="D575">
        <v>41492029854</v>
      </c>
      <c r="E575" s="1">
        <v>46231.201255902779</v>
      </c>
      <c r="F575">
        <v>69</v>
      </c>
      <c r="G575">
        <v>3</v>
      </c>
      <c r="H575" t="s">
        <v>4</v>
      </c>
      <c r="I575" t="s">
        <v>5</v>
      </c>
      <c r="J575" t="s">
        <v>6</v>
      </c>
      <c r="K575">
        <v>5048715</v>
      </c>
      <c r="L575">
        <v>404875</v>
      </c>
      <c r="M575">
        <v>3899990</v>
      </c>
      <c r="N575" t="s">
        <v>7</v>
      </c>
      <c r="O575">
        <v>50640745.969999999</v>
      </c>
      <c r="P575" t="s">
        <v>348</v>
      </c>
      <c r="Q575" t="s">
        <v>8</v>
      </c>
      <c r="R575">
        <v>111696480</v>
      </c>
      <c r="S575">
        <v>111696480</v>
      </c>
      <c r="T575">
        <v>111696480</v>
      </c>
      <c r="U575" t="s">
        <v>349</v>
      </c>
      <c r="V575" t="s">
        <v>9</v>
      </c>
    </row>
    <row r="576" spans="1:22" x14ac:dyDescent="0.25">
      <c r="A576">
        <v>41492007964</v>
      </c>
      <c r="B576" t="s">
        <v>10</v>
      </c>
      <c r="C576" t="s">
        <v>193</v>
      </c>
      <c r="D576">
        <v>41492007964</v>
      </c>
      <c r="E576" s="1">
        <v>46231.063751134257</v>
      </c>
      <c r="F576">
        <v>115</v>
      </c>
      <c r="G576">
        <v>3</v>
      </c>
      <c r="H576" t="s">
        <v>325</v>
      </c>
      <c r="I576" t="s">
        <v>5</v>
      </c>
      <c r="J576" t="s">
        <v>6</v>
      </c>
      <c r="K576">
        <v>31512617</v>
      </c>
      <c r="L576">
        <v>401903</v>
      </c>
      <c r="M576">
        <v>10000</v>
      </c>
      <c r="N576" t="s">
        <v>7</v>
      </c>
      <c r="O576">
        <v>129848.44</v>
      </c>
      <c r="P576" t="s">
        <v>326</v>
      </c>
      <c r="Q576" t="s">
        <v>8</v>
      </c>
      <c r="R576">
        <v>106494933</v>
      </c>
      <c r="S576">
        <v>106494933</v>
      </c>
      <c r="T576">
        <v>106494933</v>
      </c>
      <c r="U576" t="s">
        <v>327</v>
      </c>
      <c r="V576" t="s">
        <v>9</v>
      </c>
    </row>
    <row r="577" spans="1:22" x14ac:dyDescent="0.25">
      <c r="A577">
        <v>41494751270</v>
      </c>
      <c r="B577" t="s">
        <v>10</v>
      </c>
      <c r="C577" t="s">
        <v>193</v>
      </c>
      <c r="D577">
        <v>41494751270</v>
      </c>
      <c r="E577" s="1">
        <v>46232.584292164349</v>
      </c>
      <c r="F577">
        <v>115</v>
      </c>
      <c r="G577">
        <v>3</v>
      </c>
      <c r="H577" t="s">
        <v>4</v>
      </c>
      <c r="I577" t="s">
        <v>5</v>
      </c>
      <c r="J577" t="s">
        <v>6</v>
      </c>
      <c r="K577">
        <v>89260625</v>
      </c>
      <c r="L577">
        <v>230120</v>
      </c>
      <c r="M577">
        <v>75000</v>
      </c>
      <c r="N577" t="s">
        <v>7</v>
      </c>
      <c r="O577">
        <v>973862.99</v>
      </c>
      <c r="P577" t="s">
        <v>270</v>
      </c>
      <c r="Q577" t="s">
        <v>8</v>
      </c>
      <c r="R577">
        <v>110818184</v>
      </c>
      <c r="S577">
        <v>110818184</v>
      </c>
      <c r="T577">
        <v>110818184</v>
      </c>
      <c r="U577" t="s">
        <v>271</v>
      </c>
      <c r="V577" t="s">
        <v>15</v>
      </c>
    </row>
    <row r="578" spans="1:22" x14ac:dyDescent="0.25">
      <c r="A578">
        <v>41494665667</v>
      </c>
      <c r="B578" t="s">
        <v>10</v>
      </c>
      <c r="C578" t="s">
        <v>193</v>
      </c>
      <c r="D578">
        <v>41494665667</v>
      </c>
      <c r="E578" s="1">
        <v>46232.553681828707</v>
      </c>
      <c r="F578">
        <v>115</v>
      </c>
      <c r="G578">
        <v>3</v>
      </c>
      <c r="H578" t="s">
        <v>4</v>
      </c>
      <c r="I578" t="s">
        <v>5</v>
      </c>
      <c r="J578" t="s">
        <v>6</v>
      </c>
      <c r="K578">
        <v>12808787</v>
      </c>
      <c r="L578">
        <v>406437</v>
      </c>
      <c r="M578">
        <v>15000</v>
      </c>
      <c r="N578" t="s">
        <v>7</v>
      </c>
      <c r="O578">
        <v>194772.56</v>
      </c>
      <c r="P578" t="s">
        <v>290</v>
      </c>
      <c r="Q578" t="s">
        <v>11</v>
      </c>
      <c r="R578">
        <v>117384925</v>
      </c>
      <c r="S578">
        <v>117384925</v>
      </c>
      <c r="T578">
        <v>117384925</v>
      </c>
      <c r="U578" t="s">
        <v>291</v>
      </c>
      <c r="V578" t="s">
        <v>292</v>
      </c>
    </row>
    <row r="579" spans="1:22" x14ac:dyDescent="0.25">
      <c r="A579">
        <v>41494302533</v>
      </c>
      <c r="B579" t="s">
        <v>10</v>
      </c>
      <c r="C579" t="s">
        <v>193</v>
      </c>
      <c r="D579">
        <v>41494302533</v>
      </c>
      <c r="E579" s="1">
        <v>46232.426207430559</v>
      </c>
      <c r="F579">
        <v>69</v>
      </c>
      <c r="G579">
        <v>3</v>
      </c>
      <c r="H579" t="s">
        <v>4</v>
      </c>
      <c r="I579" t="s">
        <v>5</v>
      </c>
      <c r="J579" t="s">
        <v>6</v>
      </c>
      <c r="K579">
        <v>62571992</v>
      </c>
      <c r="L579">
        <v>230120</v>
      </c>
      <c r="M579">
        <v>119000</v>
      </c>
      <c r="N579" t="s">
        <v>7</v>
      </c>
      <c r="O579">
        <v>1545195.92</v>
      </c>
      <c r="P579" t="s">
        <v>194</v>
      </c>
      <c r="Q579" t="s">
        <v>8</v>
      </c>
      <c r="R579">
        <v>119403236</v>
      </c>
      <c r="S579">
        <v>119403236</v>
      </c>
      <c r="T579">
        <v>119403236</v>
      </c>
      <c r="U579" t="s">
        <v>370</v>
      </c>
      <c r="V579" t="s">
        <v>9</v>
      </c>
    </row>
    <row r="580" spans="1:22" x14ac:dyDescent="0.25">
      <c r="A580">
        <v>41494217700</v>
      </c>
      <c r="B580" t="s">
        <v>10</v>
      </c>
      <c r="C580" t="s">
        <v>193</v>
      </c>
      <c r="D580">
        <v>41494217700</v>
      </c>
      <c r="E580" s="1">
        <v>46232.388965416663</v>
      </c>
      <c r="F580">
        <v>115</v>
      </c>
      <c r="G580">
        <v>3</v>
      </c>
      <c r="H580" t="s">
        <v>4</v>
      </c>
      <c r="I580" t="s">
        <v>5</v>
      </c>
      <c r="J580" t="s">
        <v>6</v>
      </c>
      <c r="K580">
        <v>89260625</v>
      </c>
      <c r="L580">
        <v>230120</v>
      </c>
      <c r="M580">
        <v>75000</v>
      </c>
      <c r="N580" t="s">
        <v>7</v>
      </c>
      <c r="O580">
        <v>973862.99</v>
      </c>
      <c r="P580" t="s">
        <v>270</v>
      </c>
      <c r="Q580" t="s">
        <v>8</v>
      </c>
      <c r="R580">
        <v>110818184</v>
      </c>
      <c r="S580">
        <v>110818184</v>
      </c>
      <c r="T580">
        <v>110818184</v>
      </c>
      <c r="U580" t="s">
        <v>271</v>
      </c>
      <c r="V580" t="s">
        <v>15</v>
      </c>
    </row>
    <row r="581" spans="1:22" x14ac:dyDescent="0.25">
      <c r="A581">
        <v>41497065241</v>
      </c>
      <c r="B581" t="s">
        <v>10</v>
      </c>
      <c r="C581" t="s">
        <v>193</v>
      </c>
      <c r="D581">
        <v>41497065241</v>
      </c>
      <c r="E581" s="1">
        <v>46233.851045023148</v>
      </c>
      <c r="F581">
        <v>115</v>
      </c>
      <c r="G581">
        <v>3</v>
      </c>
      <c r="H581" t="s">
        <v>4</v>
      </c>
      <c r="I581" t="s">
        <v>5</v>
      </c>
      <c r="J581" t="s">
        <v>6</v>
      </c>
      <c r="K581">
        <v>73002616</v>
      </c>
      <c r="L581">
        <v>206155</v>
      </c>
      <c r="M581">
        <v>14644.06</v>
      </c>
      <c r="N581" t="s">
        <v>7</v>
      </c>
      <c r="O581">
        <v>190150.8</v>
      </c>
      <c r="P581" t="s">
        <v>266</v>
      </c>
      <c r="Q581" t="s">
        <v>8</v>
      </c>
      <c r="R581">
        <v>147888564</v>
      </c>
      <c r="S581">
        <v>125780189</v>
      </c>
      <c r="T581">
        <v>147888564</v>
      </c>
      <c r="U581" t="s">
        <v>267</v>
      </c>
      <c r="V581" t="s">
        <v>15</v>
      </c>
    </row>
    <row r="582" spans="1:22" x14ac:dyDescent="0.25">
      <c r="A582">
        <v>41496883182</v>
      </c>
      <c r="B582" t="s">
        <v>10</v>
      </c>
      <c r="C582" t="s">
        <v>193</v>
      </c>
      <c r="D582">
        <v>41496883182</v>
      </c>
      <c r="E582" s="1">
        <v>46233.769498807873</v>
      </c>
      <c r="F582">
        <v>115</v>
      </c>
      <c r="G582">
        <v>3</v>
      </c>
      <c r="H582" t="s">
        <v>4</v>
      </c>
      <c r="I582" t="s">
        <v>5</v>
      </c>
      <c r="J582" t="s">
        <v>6</v>
      </c>
      <c r="K582">
        <v>32972468</v>
      </c>
      <c r="L582">
        <v>771909</v>
      </c>
      <c r="M582">
        <v>20000</v>
      </c>
      <c r="N582" t="s">
        <v>7</v>
      </c>
      <c r="O582">
        <v>259696.78</v>
      </c>
      <c r="P582" t="s">
        <v>371</v>
      </c>
      <c r="Q582" t="s">
        <v>8</v>
      </c>
      <c r="R582">
        <v>144760279</v>
      </c>
      <c r="S582">
        <v>144760279</v>
      </c>
      <c r="T582">
        <v>144760279</v>
      </c>
      <c r="U582" t="s">
        <v>372</v>
      </c>
      <c r="V582" t="s">
        <v>15</v>
      </c>
    </row>
    <row r="583" spans="1:22" x14ac:dyDescent="0.25">
      <c r="A583">
        <v>41495811253</v>
      </c>
      <c r="B583" t="s">
        <v>2</v>
      </c>
      <c r="C583" t="s">
        <v>193</v>
      </c>
      <c r="D583">
        <v>41495811253</v>
      </c>
      <c r="E583" s="1">
        <v>46233.348708923608</v>
      </c>
      <c r="F583">
        <v>115</v>
      </c>
      <c r="G583">
        <v>3</v>
      </c>
      <c r="H583" t="s">
        <v>4</v>
      </c>
      <c r="I583" t="s">
        <v>5</v>
      </c>
      <c r="J583" t="s">
        <v>6</v>
      </c>
      <c r="K583">
        <v>12808787</v>
      </c>
      <c r="L583">
        <v>406437</v>
      </c>
      <c r="M583">
        <v>13590</v>
      </c>
      <c r="N583" t="s">
        <v>7</v>
      </c>
      <c r="O583">
        <v>176463.93</v>
      </c>
      <c r="P583" t="s">
        <v>290</v>
      </c>
      <c r="Q583" t="s">
        <v>11</v>
      </c>
      <c r="R583">
        <v>117384925</v>
      </c>
      <c r="S583">
        <v>117384925</v>
      </c>
      <c r="T583">
        <v>117384925</v>
      </c>
      <c r="U583" t="s">
        <v>291</v>
      </c>
      <c r="V583" t="s">
        <v>292</v>
      </c>
    </row>
    <row r="584" spans="1:22" x14ac:dyDescent="0.25">
      <c r="A584">
        <v>41495789445</v>
      </c>
      <c r="B584" t="s">
        <v>10</v>
      </c>
      <c r="C584" t="s">
        <v>193</v>
      </c>
      <c r="D584">
        <v>41495789445</v>
      </c>
      <c r="E584" s="1">
        <v>46233.337318483798</v>
      </c>
      <c r="F584">
        <v>115</v>
      </c>
      <c r="G584">
        <v>3</v>
      </c>
      <c r="H584" t="s">
        <v>4</v>
      </c>
      <c r="I584" t="s">
        <v>5</v>
      </c>
      <c r="J584" t="s">
        <v>6</v>
      </c>
      <c r="K584">
        <v>49067234</v>
      </c>
      <c r="L584">
        <v>608407</v>
      </c>
      <c r="M584">
        <v>20000</v>
      </c>
      <c r="N584" t="s">
        <v>7</v>
      </c>
      <c r="O584">
        <v>259696.78</v>
      </c>
      <c r="P584" t="s">
        <v>293</v>
      </c>
      <c r="Q584" t="s">
        <v>11</v>
      </c>
      <c r="R584">
        <v>117896027</v>
      </c>
      <c r="S584">
        <v>117896027</v>
      </c>
      <c r="T584">
        <v>117896027</v>
      </c>
      <c r="U584" t="s">
        <v>294</v>
      </c>
      <c r="V584" t="s">
        <v>15</v>
      </c>
    </row>
    <row r="585" spans="1:22" x14ac:dyDescent="0.25">
      <c r="A585">
        <v>41498866040</v>
      </c>
      <c r="B585" t="s">
        <v>10</v>
      </c>
      <c r="C585" t="s">
        <v>193</v>
      </c>
      <c r="D585">
        <v>41498866040</v>
      </c>
      <c r="E585" s="1">
        <v>46234.919915185186</v>
      </c>
      <c r="F585">
        <v>115</v>
      </c>
      <c r="G585">
        <v>3</v>
      </c>
      <c r="H585" t="s">
        <v>295</v>
      </c>
      <c r="I585" t="s">
        <v>5</v>
      </c>
      <c r="J585" t="s">
        <v>6</v>
      </c>
      <c r="K585">
        <v>47989254</v>
      </c>
      <c r="L585">
        <v>560069</v>
      </c>
      <c r="M585">
        <v>20000</v>
      </c>
      <c r="N585" t="s">
        <v>7</v>
      </c>
      <c r="O585">
        <v>259696.78</v>
      </c>
      <c r="P585" t="s">
        <v>296</v>
      </c>
      <c r="Q585" t="s">
        <v>8</v>
      </c>
      <c r="R585">
        <v>141854935</v>
      </c>
      <c r="S585">
        <v>141854935</v>
      </c>
      <c r="T585">
        <v>141854935</v>
      </c>
      <c r="U585" t="s">
        <v>297</v>
      </c>
      <c r="V585" t="s">
        <v>15</v>
      </c>
    </row>
    <row r="586" spans="1:22" x14ac:dyDescent="0.25">
      <c r="A586">
        <v>41497898755</v>
      </c>
      <c r="B586" t="s">
        <v>10</v>
      </c>
      <c r="C586" t="s">
        <v>193</v>
      </c>
      <c r="D586">
        <v>41497898755</v>
      </c>
      <c r="E586" s="1">
        <v>46234.530173530089</v>
      </c>
      <c r="F586">
        <v>115</v>
      </c>
      <c r="G586">
        <v>3</v>
      </c>
      <c r="H586" t="s">
        <v>4</v>
      </c>
      <c r="I586" t="s">
        <v>5</v>
      </c>
      <c r="J586" t="s">
        <v>6</v>
      </c>
      <c r="K586">
        <v>50871486</v>
      </c>
      <c r="L586">
        <v>202990</v>
      </c>
      <c r="M586">
        <v>20000</v>
      </c>
      <c r="N586" t="s">
        <v>7</v>
      </c>
      <c r="O586">
        <v>259696.78</v>
      </c>
      <c r="P586" t="s">
        <v>298</v>
      </c>
      <c r="Q586" t="s">
        <v>11</v>
      </c>
      <c r="R586">
        <v>106021520</v>
      </c>
      <c r="S586">
        <v>106021520</v>
      </c>
      <c r="T586">
        <v>106021520</v>
      </c>
      <c r="U586" t="s">
        <v>299</v>
      </c>
      <c r="V586" t="s">
        <v>9</v>
      </c>
    </row>
    <row r="587" spans="1:22" x14ac:dyDescent="0.25">
      <c r="A587">
        <v>41497762265</v>
      </c>
      <c r="B587" t="s">
        <v>10</v>
      </c>
      <c r="C587" t="s">
        <v>193</v>
      </c>
      <c r="D587">
        <v>41497762265</v>
      </c>
      <c r="E587" s="1">
        <v>46234.484614594905</v>
      </c>
      <c r="F587">
        <v>115</v>
      </c>
      <c r="G587">
        <v>3</v>
      </c>
      <c r="H587" t="s">
        <v>373</v>
      </c>
      <c r="I587" t="s">
        <v>5</v>
      </c>
      <c r="J587" t="s">
        <v>6</v>
      </c>
      <c r="K587">
        <v>10066417</v>
      </c>
      <c r="L587">
        <v>600168</v>
      </c>
      <c r="M587">
        <v>19900</v>
      </c>
      <c r="N587" t="s">
        <v>7</v>
      </c>
      <c r="O587">
        <v>258398.34</v>
      </c>
      <c r="P587" t="s">
        <v>374</v>
      </c>
      <c r="Q587" t="s">
        <v>11</v>
      </c>
      <c r="R587">
        <v>105443931</v>
      </c>
      <c r="S587">
        <v>105443931</v>
      </c>
      <c r="T587">
        <v>105443931</v>
      </c>
      <c r="U587" t="s">
        <v>375</v>
      </c>
      <c r="V587" t="s">
        <v>15</v>
      </c>
    </row>
    <row r="588" spans="1:22" x14ac:dyDescent="0.25">
      <c r="A588">
        <v>41497368259</v>
      </c>
      <c r="B588" t="s">
        <v>10</v>
      </c>
      <c r="C588" t="s">
        <v>193</v>
      </c>
      <c r="D588">
        <v>41497368259</v>
      </c>
      <c r="E588" s="1">
        <v>46234.201076666664</v>
      </c>
      <c r="F588">
        <v>69</v>
      </c>
      <c r="G588">
        <v>3</v>
      </c>
      <c r="H588" t="s">
        <v>376</v>
      </c>
      <c r="I588" t="s">
        <v>5</v>
      </c>
      <c r="J588" t="s">
        <v>6</v>
      </c>
      <c r="K588">
        <v>92301520</v>
      </c>
      <c r="L588">
        <v>404527</v>
      </c>
      <c r="M588">
        <v>150000</v>
      </c>
      <c r="N588" t="s">
        <v>7</v>
      </c>
      <c r="O588">
        <v>1947725.97</v>
      </c>
      <c r="P588" t="s">
        <v>377</v>
      </c>
      <c r="Q588" t="s">
        <v>8</v>
      </c>
      <c r="R588">
        <v>107648289</v>
      </c>
      <c r="S588">
        <v>107648289</v>
      </c>
      <c r="T588">
        <v>107648289</v>
      </c>
      <c r="U588" t="s">
        <v>378</v>
      </c>
      <c r="V588" t="s">
        <v>15</v>
      </c>
    </row>
    <row r="589" spans="1:22" x14ac:dyDescent="0.25">
      <c r="A589">
        <v>41499919515</v>
      </c>
      <c r="B589" t="s">
        <v>2</v>
      </c>
      <c r="C589" t="s">
        <v>193</v>
      </c>
      <c r="D589">
        <v>41499919515</v>
      </c>
      <c r="E589" s="1">
        <v>46235.700332476852</v>
      </c>
      <c r="F589">
        <v>115</v>
      </c>
      <c r="G589">
        <v>3</v>
      </c>
      <c r="H589" t="s">
        <v>4</v>
      </c>
      <c r="I589" t="s">
        <v>5</v>
      </c>
      <c r="J589" t="s">
        <v>6</v>
      </c>
      <c r="K589">
        <v>38307720</v>
      </c>
      <c r="L589">
        <v>90130</v>
      </c>
      <c r="M589">
        <v>40240.32</v>
      </c>
      <c r="N589" t="s">
        <v>7</v>
      </c>
      <c r="O589">
        <v>522514.15</v>
      </c>
      <c r="P589" t="s">
        <v>302</v>
      </c>
      <c r="Q589" t="s">
        <v>8</v>
      </c>
      <c r="R589">
        <v>119007375</v>
      </c>
      <c r="S589">
        <v>119007375</v>
      </c>
      <c r="T589">
        <v>119007375</v>
      </c>
      <c r="U589" t="s">
        <v>303</v>
      </c>
      <c r="V589" t="s">
        <v>15</v>
      </c>
    </row>
    <row r="590" spans="1:22" x14ac:dyDescent="0.25">
      <c r="A590">
        <v>41499878714</v>
      </c>
      <c r="B590" t="s">
        <v>10</v>
      </c>
      <c r="C590" t="s">
        <v>193</v>
      </c>
      <c r="D590">
        <v>41499878714</v>
      </c>
      <c r="E590" s="1">
        <v>46235.681359004629</v>
      </c>
      <c r="F590">
        <v>115</v>
      </c>
      <c r="G590">
        <v>3</v>
      </c>
      <c r="H590" t="s">
        <v>4</v>
      </c>
      <c r="I590" t="s">
        <v>5</v>
      </c>
      <c r="J590" t="s">
        <v>6</v>
      </c>
      <c r="K590">
        <v>10475655</v>
      </c>
      <c r="L590">
        <v>40831</v>
      </c>
      <c r="M590">
        <v>50000</v>
      </c>
      <c r="N590" t="s">
        <v>7</v>
      </c>
      <c r="O590">
        <v>649241.99</v>
      </c>
      <c r="P590" t="s">
        <v>300</v>
      </c>
      <c r="Q590" t="s">
        <v>8</v>
      </c>
      <c r="R590">
        <v>105779995</v>
      </c>
      <c r="S590">
        <v>105779995</v>
      </c>
      <c r="T590">
        <v>105779995</v>
      </c>
      <c r="U590" t="s">
        <v>301</v>
      </c>
      <c r="V590" t="s">
        <v>9</v>
      </c>
    </row>
    <row r="591" spans="1:22" x14ac:dyDescent="0.25">
      <c r="A591">
        <v>41499444439</v>
      </c>
      <c r="B591" t="s">
        <v>10</v>
      </c>
      <c r="C591" t="s">
        <v>193</v>
      </c>
      <c r="D591">
        <v>41499444439</v>
      </c>
      <c r="E591" s="1">
        <v>46235.523600115739</v>
      </c>
      <c r="F591">
        <v>115</v>
      </c>
      <c r="G591">
        <v>3</v>
      </c>
      <c r="H591" t="s">
        <v>4</v>
      </c>
      <c r="I591" t="s">
        <v>5</v>
      </c>
      <c r="J591" t="s">
        <v>6</v>
      </c>
      <c r="K591">
        <v>80762083</v>
      </c>
      <c r="L591">
        <v>205961</v>
      </c>
      <c r="M591">
        <v>15000</v>
      </c>
      <c r="N591" t="s">
        <v>7</v>
      </c>
      <c r="O591">
        <v>194772.56</v>
      </c>
      <c r="P591" t="s">
        <v>304</v>
      </c>
      <c r="Q591" t="s">
        <v>11</v>
      </c>
      <c r="R591">
        <v>122744105</v>
      </c>
      <c r="S591">
        <v>122744105</v>
      </c>
      <c r="T591">
        <v>122744105</v>
      </c>
      <c r="U591" t="s">
        <v>305</v>
      </c>
      <c r="V591" t="s">
        <v>9</v>
      </c>
    </row>
    <row r="592" spans="1:22" x14ac:dyDescent="0.25">
      <c r="A592">
        <v>41499060236</v>
      </c>
      <c r="B592" t="s">
        <v>10</v>
      </c>
      <c r="C592" t="s">
        <v>193</v>
      </c>
      <c r="D592">
        <v>41499060236</v>
      </c>
      <c r="E592" s="1">
        <v>46235.349370243057</v>
      </c>
      <c r="F592">
        <v>115</v>
      </c>
      <c r="G592">
        <v>3</v>
      </c>
      <c r="H592" t="s">
        <v>379</v>
      </c>
      <c r="I592" t="s">
        <v>5</v>
      </c>
      <c r="J592" t="s">
        <v>6</v>
      </c>
      <c r="K592">
        <v>2024470</v>
      </c>
      <c r="L592">
        <v>401298</v>
      </c>
      <c r="M592">
        <v>19500</v>
      </c>
      <c r="N592" t="s">
        <v>7</v>
      </c>
      <c r="O592">
        <v>253204.4</v>
      </c>
      <c r="P592" t="s">
        <v>380</v>
      </c>
      <c r="Q592" t="s">
        <v>11</v>
      </c>
      <c r="R592">
        <v>110520855</v>
      </c>
      <c r="S592">
        <v>110520855</v>
      </c>
      <c r="T592">
        <v>110520855</v>
      </c>
      <c r="U592" t="s">
        <v>381</v>
      </c>
      <c r="V592" t="s">
        <v>15</v>
      </c>
    </row>
    <row r="593" spans="1:22" x14ac:dyDescent="0.25">
      <c r="A593">
        <v>41501646306</v>
      </c>
      <c r="B593" t="s">
        <v>10</v>
      </c>
      <c r="C593" t="s">
        <v>193</v>
      </c>
      <c r="D593">
        <v>41501646306</v>
      </c>
      <c r="E593" s="1">
        <v>46236.929794525466</v>
      </c>
      <c r="F593">
        <v>115</v>
      </c>
      <c r="G593">
        <v>3</v>
      </c>
      <c r="H593" t="s">
        <v>4</v>
      </c>
      <c r="I593" t="s">
        <v>5</v>
      </c>
      <c r="J593" t="s">
        <v>6</v>
      </c>
      <c r="K593">
        <v>82261370</v>
      </c>
      <c r="L593">
        <v>608407</v>
      </c>
      <c r="M593">
        <v>15000</v>
      </c>
      <c r="N593" t="s">
        <v>7</v>
      </c>
      <c r="O593">
        <v>194772.56</v>
      </c>
      <c r="P593" t="s">
        <v>382</v>
      </c>
      <c r="Q593" t="s">
        <v>11</v>
      </c>
      <c r="R593">
        <v>103005948</v>
      </c>
      <c r="S593">
        <v>103005948</v>
      </c>
      <c r="T593">
        <v>103005948</v>
      </c>
      <c r="U593" t="s">
        <v>383</v>
      </c>
      <c r="V593" t="s">
        <v>15</v>
      </c>
    </row>
    <row r="594" spans="1:22" x14ac:dyDescent="0.25">
      <c r="A594">
        <v>41501265441</v>
      </c>
      <c r="B594" t="s">
        <v>2</v>
      </c>
      <c r="C594" t="s">
        <v>193</v>
      </c>
      <c r="D594">
        <v>41501265441</v>
      </c>
      <c r="E594" s="1">
        <v>46236.717546967593</v>
      </c>
      <c r="F594">
        <v>115</v>
      </c>
      <c r="G594">
        <v>3</v>
      </c>
      <c r="H594" t="s">
        <v>143</v>
      </c>
      <c r="I594" t="s">
        <v>5</v>
      </c>
      <c r="J594" t="s">
        <v>6</v>
      </c>
      <c r="K594">
        <v>25574811</v>
      </c>
      <c r="L594">
        <v>403232</v>
      </c>
      <c r="M594">
        <v>10000</v>
      </c>
      <c r="N594" t="s">
        <v>7</v>
      </c>
      <c r="O594">
        <v>129848.44</v>
      </c>
      <c r="P594" t="s">
        <v>328</v>
      </c>
      <c r="Q594" t="s">
        <v>11</v>
      </c>
      <c r="R594">
        <v>147009427</v>
      </c>
      <c r="S594">
        <v>147009427</v>
      </c>
      <c r="T594">
        <v>147009427</v>
      </c>
      <c r="U594" t="s">
        <v>329</v>
      </c>
      <c r="V594" t="s">
        <v>9</v>
      </c>
    </row>
    <row r="595" spans="1:22" x14ac:dyDescent="0.25">
      <c r="A595">
        <v>41503241977</v>
      </c>
      <c r="B595" t="s">
        <v>10</v>
      </c>
      <c r="C595" t="s">
        <v>193</v>
      </c>
      <c r="D595">
        <v>41503241977</v>
      </c>
      <c r="E595" s="1">
        <v>46237.896394594907</v>
      </c>
      <c r="F595">
        <v>115</v>
      </c>
      <c r="G595">
        <v>3</v>
      </c>
      <c r="H595" t="s">
        <v>4</v>
      </c>
      <c r="I595" t="s">
        <v>5</v>
      </c>
      <c r="J595" t="s">
        <v>6</v>
      </c>
      <c r="K595">
        <v>2513790</v>
      </c>
      <c r="L595">
        <v>40006</v>
      </c>
      <c r="M595">
        <v>9998.48</v>
      </c>
      <c r="N595" t="s">
        <v>7</v>
      </c>
      <c r="O595">
        <v>129828.65</v>
      </c>
      <c r="P595" t="s">
        <v>141</v>
      </c>
      <c r="Q595" t="s">
        <v>11</v>
      </c>
      <c r="R595">
        <v>120443536</v>
      </c>
      <c r="S595">
        <v>120443536</v>
      </c>
      <c r="T595">
        <v>120443536</v>
      </c>
      <c r="U595" t="s">
        <v>384</v>
      </c>
      <c r="V595" t="s">
        <v>15</v>
      </c>
    </row>
    <row r="596" spans="1:22" x14ac:dyDescent="0.25">
      <c r="A596">
        <v>41503170231</v>
      </c>
      <c r="B596" t="s">
        <v>10</v>
      </c>
      <c r="C596" t="s">
        <v>193</v>
      </c>
      <c r="D596">
        <v>41503170231</v>
      </c>
      <c r="E596" s="1">
        <v>46237.847643032408</v>
      </c>
      <c r="F596">
        <v>115</v>
      </c>
      <c r="G596">
        <v>3</v>
      </c>
      <c r="H596" t="s">
        <v>385</v>
      </c>
      <c r="I596" t="s">
        <v>5</v>
      </c>
      <c r="J596" t="s">
        <v>6</v>
      </c>
      <c r="K596">
        <v>20451979</v>
      </c>
      <c r="L596">
        <v>160001</v>
      </c>
      <c r="M596">
        <v>17000</v>
      </c>
      <c r="N596" t="s">
        <v>7</v>
      </c>
      <c r="O596">
        <v>220742.25</v>
      </c>
      <c r="P596" t="s">
        <v>386</v>
      </c>
      <c r="Q596" t="s">
        <v>11</v>
      </c>
      <c r="R596">
        <v>101939981</v>
      </c>
      <c r="S596">
        <v>101939981</v>
      </c>
      <c r="T596">
        <v>101939981</v>
      </c>
      <c r="U596" t="s">
        <v>387</v>
      </c>
      <c r="V596" t="s">
        <v>15</v>
      </c>
    </row>
    <row r="597" spans="1:22" x14ac:dyDescent="0.25">
      <c r="A597">
        <v>41502622988</v>
      </c>
      <c r="B597" t="s">
        <v>10</v>
      </c>
      <c r="C597" t="s">
        <v>193</v>
      </c>
      <c r="D597">
        <v>41502622988</v>
      </c>
      <c r="E597" s="1">
        <v>46237.631411585651</v>
      </c>
      <c r="F597">
        <v>69</v>
      </c>
      <c r="G597">
        <v>3</v>
      </c>
      <c r="H597" t="s">
        <v>143</v>
      </c>
      <c r="I597" t="s">
        <v>5</v>
      </c>
      <c r="J597" t="s">
        <v>6</v>
      </c>
      <c r="K597">
        <v>9017860</v>
      </c>
      <c r="L597">
        <v>403232</v>
      </c>
      <c r="M597">
        <v>500000</v>
      </c>
      <c r="N597" t="s">
        <v>7</v>
      </c>
      <c r="O597">
        <v>6492420.0099999998</v>
      </c>
      <c r="P597" t="s">
        <v>279</v>
      </c>
      <c r="Q597" t="s">
        <v>8</v>
      </c>
      <c r="R597">
        <v>108407818</v>
      </c>
      <c r="S597">
        <v>108407818</v>
      </c>
      <c r="T597">
        <v>108407818</v>
      </c>
      <c r="U597" t="s">
        <v>280</v>
      </c>
      <c r="V597" t="s">
        <v>9</v>
      </c>
    </row>
    <row r="598" spans="1:22" x14ac:dyDescent="0.25">
      <c r="A598">
        <v>41502365582</v>
      </c>
      <c r="B598" t="s">
        <v>10</v>
      </c>
      <c r="C598" t="s">
        <v>193</v>
      </c>
      <c r="D598">
        <v>41502365582</v>
      </c>
      <c r="E598" s="1">
        <v>46237.546154699077</v>
      </c>
      <c r="F598">
        <v>115</v>
      </c>
      <c r="G598">
        <v>3</v>
      </c>
      <c r="H598" t="s">
        <v>4</v>
      </c>
      <c r="I598" t="s">
        <v>5</v>
      </c>
      <c r="J598" t="s">
        <v>6</v>
      </c>
      <c r="K598">
        <v>3649830</v>
      </c>
      <c r="L598">
        <v>203775</v>
      </c>
      <c r="M598">
        <v>100000</v>
      </c>
      <c r="N598" t="s">
        <v>7</v>
      </c>
      <c r="O598">
        <v>1298483.98</v>
      </c>
      <c r="P598" t="s">
        <v>330</v>
      </c>
      <c r="Q598" t="s">
        <v>8</v>
      </c>
      <c r="R598">
        <v>124780263</v>
      </c>
      <c r="S598">
        <v>124780263</v>
      </c>
      <c r="T598">
        <v>124780263</v>
      </c>
      <c r="U598" t="s">
        <v>331</v>
      </c>
      <c r="V598" t="s">
        <v>15</v>
      </c>
    </row>
    <row r="599" spans="1:22" x14ac:dyDescent="0.25">
      <c r="A599">
        <v>41501866847</v>
      </c>
      <c r="B599" t="s">
        <v>10</v>
      </c>
      <c r="C599" t="s">
        <v>193</v>
      </c>
      <c r="D599">
        <v>41501866847</v>
      </c>
      <c r="E599" s="1">
        <v>46237.35089854167</v>
      </c>
      <c r="F599">
        <v>115</v>
      </c>
      <c r="G599">
        <v>3</v>
      </c>
      <c r="H599" t="s">
        <v>143</v>
      </c>
      <c r="I599" t="s">
        <v>5</v>
      </c>
      <c r="J599" t="s">
        <v>6</v>
      </c>
      <c r="K599">
        <v>25574811</v>
      </c>
      <c r="L599">
        <v>403232</v>
      </c>
      <c r="M599">
        <v>20000</v>
      </c>
      <c r="N599" t="s">
        <v>7</v>
      </c>
      <c r="O599">
        <v>259696.78</v>
      </c>
      <c r="P599" t="s">
        <v>328</v>
      </c>
      <c r="Q599" t="s">
        <v>11</v>
      </c>
      <c r="R599">
        <v>147009427</v>
      </c>
      <c r="S599">
        <v>147009427</v>
      </c>
      <c r="T599">
        <v>147009427</v>
      </c>
      <c r="U599" t="s">
        <v>329</v>
      </c>
      <c r="V599" t="s">
        <v>9</v>
      </c>
    </row>
    <row r="600" spans="1:22" x14ac:dyDescent="0.25">
      <c r="A600">
        <v>41504635203</v>
      </c>
      <c r="B600" t="s">
        <v>2</v>
      </c>
      <c r="C600" t="s">
        <v>193</v>
      </c>
      <c r="D600">
        <v>41504635203</v>
      </c>
      <c r="E600" s="1">
        <v>46238.797782303242</v>
      </c>
      <c r="F600">
        <v>115</v>
      </c>
      <c r="G600">
        <v>3</v>
      </c>
      <c r="H600" t="s">
        <v>332</v>
      </c>
      <c r="I600" t="s">
        <v>5</v>
      </c>
      <c r="J600" t="s">
        <v>6</v>
      </c>
      <c r="K600">
        <v>12470709</v>
      </c>
      <c r="L600">
        <v>608371</v>
      </c>
      <c r="M600">
        <v>18000</v>
      </c>
      <c r="N600" t="s">
        <v>7</v>
      </c>
      <c r="O600">
        <v>233727.09</v>
      </c>
      <c r="P600" t="s">
        <v>333</v>
      </c>
      <c r="Q600" t="s">
        <v>8</v>
      </c>
      <c r="R600">
        <v>128324746</v>
      </c>
      <c r="S600">
        <v>128324746</v>
      </c>
      <c r="T600">
        <v>128324746</v>
      </c>
      <c r="U600" t="s">
        <v>334</v>
      </c>
      <c r="V600" t="s">
        <v>335</v>
      </c>
    </row>
    <row r="601" spans="1:22" x14ac:dyDescent="0.25">
      <c r="A601">
        <v>41504465001</v>
      </c>
      <c r="B601" t="s">
        <v>10</v>
      </c>
      <c r="C601" t="s">
        <v>193</v>
      </c>
      <c r="D601">
        <v>41504465001</v>
      </c>
      <c r="E601" s="1">
        <v>46238.723351250002</v>
      </c>
      <c r="F601">
        <v>115</v>
      </c>
      <c r="G601">
        <v>3</v>
      </c>
      <c r="H601" t="s">
        <v>272</v>
      </c>
      <c r="I601" t="s">
        <v>5</v>
      </c>
      <c r="J601" t="s">
        <v>6</v>
      </c>
      <c r="K601">
        <v>12571423</v>
      </c>
      <c r="L601">
        <v>165187</v>
      </c>
      <c r="M601">
        <v>100000</v>
      </c>
      <c r="N601" t="s">
        <v>7</v>
      </c>
      <c r="O601">
        <v>1298483.98</v>
      </c>
      <c r="P601" t="s">
        <v>273</v>
      </c>
      <c r="Q601" t="s">
        <v>8</v>
      </c>
      <c r="R601">
        <v>104115159</v>
      </c>
      <c r="S601">
        <v>104115159</v>
      </c>
      <c r="T601">
        <v>104115159</v>
      </c>
      <c r="U601" t="s">
        <v>274</v>
      </c>
      <c r="V601" t="s">
        <v>9</v>
      </c>
    </row>
    <row r="602" spans="1:22" x14ac:dyDescent="0.25">
      <c r="A602">
        <v>41504312903</v>
      </c>
      <c r="B602" t="s">
        <v>10</v>
      </c>
      <c r="C602" t="s">
        <v>193</v>
      </c>
      <c r="D602">
        <v>41504312903</v>
      </c>
      <c r="E602" s="1">
        <v>46238.66738741898</v>
      </c>
      <c r="F602">
        <v>115</v>
      </c>
      <c r="G602">
        <v>3</v>
      </c>
      <c r="H602" t="s">
        <v>110</v>
      </c>
      <c r="I602" t="s">
        <v>5</v>
      </c>
      <c r="J602" t="s">
        <v>6</v>
      </c>
      <c r="K602">
        <v>37424349</v>
      </c>
      <c r="L602">
        <v>86064</v>
      </c>
      <c r="M602">
        <v>19800</v>
      </c>
      <c r="N602" t="s">
        <v>7</v>
      </c>
      <c r="O602">
        <v>257099.81</v>
      </c>
      <c r="P602" t="s">
        <v>306</v>
      </c>
      <c r="Q602" t="s">
        <v>11</v>
      </c>
      <c r="R602">
        <v>121835144</v>
      </c>
      <c r="S602">
        <v>121835144</v>
      </c>
      <c r="T602">
        <v>121835144</v>
      </c>
      <c r="U602" t="s">
        <v>307</v>
      </c>
      <c r="V602" t="s">
        <v>9</v>
      </c>
    </row>
    <row r="603" spans="1:22" x14ac:dyDescent="0.25">
      <c r="A603">
        <v>41504243948</v>
      </c>
      <c r="B603" t="s">
        <v>10</v>
      </c>
      <c r="C603" t="s">
        <v>193</v>
      </c>
      <c r="D603">
        <v>41504243948</v>
      </c>
      <c r="E603" s="1">
        <v>46238.642042175925</v>
      </c>
      <c r="F603">
        <v>115</v>
      </c>
      <c r="G603">
        <v>3</v>
      </c>
      <c r="H603" t="s">
        <v>332</v>
      </c>
      <c r="I603" t="s">
        <v>5</v>
      </c>
      <c r="J603" t="s">
        <v>6</v>
      </c>
      <c r="K603">
        <v>88697098</v>
      </c>
      <c r="L603">
        <v>608371</v>
      </c>
      <c r="M603">
        <v>11990</v>
      </c>
      <c r="N603" t="s">
        <v>7</v>
      </c>
      <c r="O603">
        <v>155688.18</v>
      </c>
      <c r="P603" t="s">
        <v>388</v>
      </c>
      <c r="Q603" t="s">
        <v>11</v>
      </c>
      <c r="R603">
        <v>115335648</v>
      </c>
      <c r="S603">
        <v>115335648</v>
      </c>
      <c r="T603">
        <v>115335648</v>
      </c>
      <c r="U603" t="s">
        <v>389</v>
      </c>
      <c r="V603" t="s">
        <v>9</v>
      </c>
    </row>
    <row r="604" spans="1:22" x14ac:dyDescent="0.25">
      <c r="A604">
        <v>41504240618</v>
      </c>
      <c r="B604" t="s">
        <v>10</v>
      </c>
      <c r="C604" t="s">
        <v>193</v>
      </c>
      <c r="D604">
        <v>41504240618</v>
      </c>
      <c r="E604" s="1">
        <v>46238.64076490741</v>
      </c>
      <c r="F604">
        <v>115</v>
      </c>
      <c r="G604">
        <v>3</v>
      </c>
      <c r="H604" t="s">
        <v>49</v>
      </c>
      <c r="I604" t="s">
        <v>5</v>
      </c>
      <c r="J604" t="s">
        <v>6</v>
      </c>
      <c r="K604">
        <v>43082167</v>
      </c>
      <c r="L604">
        <v>230580</v>
      </c>
      <c r="M604">
        <v>100000</v>
      </c>
      <c r="N604" t="s">
        <v>7</v>
      </c>
      <c r="O604">
        <v>1298483.98</v>
      </c>
      <c r="P604" t="s">
        <v>308</v>
      </c>
      <c r="Q604" t="s">
        <v>8</v>
      </c>
      <c r="R604">
        <v>130575269</v>
      </c>
      <c r="S604">
        <v>130575269</v>
      </c>
      <c r="T604">
        <v>130575269</v>
      </c>
      <c r="U604" t="s">
        <v>309</v>
      </c>
      <c r="V604" t="s">
        <v>9</v>
      </c>
    </row>
    <row r="605" spans="1:22" x14ac:dyDescent="0.25">
      <c r="A605">
        <v>41504028902</v>
      </c>
      <c r="B605" t="s">
        <v>10</v>
      </c>
      <c r="C605" t="s">
        <v>193</v>
      </c>
      <c r="D605">
        <v>41504028902</v>
      </c>
      <c r="E605" s="1">
        <v>46238.56610384259</v>
      </c>
      <c r="F605">
        <v>115</v>
      </c>
      <c r="G605">
        <v>3</v>
      </c>
      <c r="H605" t="s">
        <v>4</v>
      </c>
      <c r="I605" t="s">
        <v>5</v>
      </c>
      <c r="J605" t="s">
        <v>6</v>
      </c>
      <c r="K605">
        <v>18282827</v>
      </c>
      <c r="L605">
        <v>980420</v>
      </c>
      <c r="M605">
        <v>15000</v>
      </c>
      <c r="N605" t="s">
        <v>7</v>
      </c>
      <c r="O605">
        <v>194772.56</v>
      </c>
      <c r="P605" t="s">
        <v>36</v>
      </c>
      <c r="Q605" t="s">
        <v>11</v>
      </c>
      <c r="R605">
        <v>144653623</v>
      </c>
      <c r="S605">
        <v>144653623</v>
      </c>
      <c r="T605">
        <v>144653623</v>
      </c>
      <c r="U605" t="s">
        <v>310</v>
      </c>
      <c r="V605" t="s">
        <v>9</v>
      </c>
    </row>
    <row r="606" spans="1:22" x14ac:dyDescent="0.25">
      <c r="A606">
        <v>41503800019</v>
      </c>
      <c r="B606" t="s">
        <v>10</v>
      </c>
      <c r="C606" t="s">
        <v>193</v>
      </c>
      <c r="D606">
        <v>41503800019</v>
      </c>
      <c r="E606" s="1">
        <v>46238.485007766205</v>
      </c>
      <c r="F606">
        <v>69</v>
      </c>
      <c r="G606">
        <v>3</v>
      </c>
      <c r="H606" t="s">
        <v>4</v>
      </c>
      <c r="I606" t="s">
        <v>5</v>
      </c>
      <c r="J606" t="s">
        <v>6</v>
      </c>
      <c r="K606">
        <v>81641316</v>
      </c>
      <c r="L606">
        <v>406437</v>
      </c>
      <c r="M606">
        <v>199999</v>
      </c>
      <c r="N606" t="s">
        <v>7</v>
      </c>
      <c r="O606">
        <v>2596955.0299999998</v>
      </c>
      <c r="P606" t="s">
        <v>390</v>
      </c>
      <c r="Q606" t="s">
        <v>8</v>
      </c>
      <c r="R606">
        <v>116807926</v>
      </c>
      <c r="S606">
        <v>116807926</v>
      </c>
      <c r="T606">
        <v>116807926</v>
      </c>
      <c r="U606" t="s">
        <v>391</v>
      </c>
      <c r="V606" t="s">
        <v>9</v>
      </c>
    </row>
    <row r="607" spans="1:22" x14ac:dyDescent="0.25">
      <c r="A607">
        <v>41506175931</v>
      </c>
      <c r="B607" t="s">
        <v>10</v>
      </c>
      <c r="C607" t="s">
        <v>193</v>
      </c>
      <c r="D607">
        <v>41506175931</v>
      </c>
      <c r="E607" s="1">
        <v>46239.801748020836</v>
      </c>
      <c r="F607">
        <v>115</v>
      </c>
      <c r="G607">
        <v>3</v>
      </c>
      <c r="H607" t="s">
        <v>311</v>
      </c>
      <c r="I607" t="s">
        <v>5</v>
      </c>
      <c r="J607" t="s">
        <v>6</v>
      </c>
      <c r="K607">
        <v>80166232</v>
      </c>
      <c r="L607">
        <v>159900</v>
      </c>
      <c r="M607">
        <v>100000</v>
      </c>
      <c r="N607" t="s">
        <v>7</v>
      </c>
      <c r="O607">
        <v>1298483.98</v>
      </c>
      <c r="P607" t="s">
        <v>45</v>
      </c>
      <c r="Q607" t="s">
        <v>8</v>
      </c>
      <c r="R607">
        <v>107953069</v>
      </c>
      <c r="S607">
        <v>107953069</v>
      </c>
      <c r="T607">
        <v>107953069</v>
      </c>
      <c r="U607" t="s">
        <v>312</v>
      </c>
      <c r="V607" t="s">
        <v>15</v>
      </c>
    </row>
    <row r="608" spans="1:22" x14ac:dyDescent="0.25">
      <c r="A608">
        <v>41506176989</v>
      </c>
      <c r="B608" t="s">
        <v>10</v>
      </c>
      <c r="C608" t="s">
        <v>193</v>
      </c>
      <c r="D608">
        <v>41506176989</v>
      </c>
      <c r="E608" s="1">
        <v>46239.802213900461</v>
      </c>
      <c r="F608">
        <v>115</v>
      </c>
      <c r="G608">
        <v>3</v>
      </c>
      <c r="H608" t="s">
        <v>311</v>
      </c>
      <c r="I608" t="s">
        <v>5</v>
      </c>
      <c r="J608" t="s">
        <v>6</v>
      </c>
      <c r="K608">
        <v>80166232</v>
      </c>
      <c r="L608">
        <v>159900</v>
      </c>
      <c r="M608">
        <v>100000</v>
      </c>
      <c r="N608" t="s">
        <v>7</v>
      </c>
      <c r="O608">
        <v>1298483.98</v>
      </c>
      <c r="P608" t="s">
        <v>45</v>
      </c>
      <c r="Q608" t="s">
        <v>8</v>
      </c>
      <c r="R608">
        <v>107953069</v>
      </c>
      <c r="S608">
        <v>107953069</v>
      </c>
      <c r="T608">
        <v>107953069</v>
      </c>
      <c r="U608" t="s">
        <v>312</v>
      </c>
      <c r="V608" t="s">
        <v>15</v>
      </c>
    </row>
    <row r="609" spans="1:22" x14ac:dyDescent="0.25">
      <c r="A609">
        <v>41505307253</v>
      </c>
      <c r="B609" t="s">
        <v>10</v>
      </c>
      <c r="C609" t="s">
        <v>193</v>
      </c>
      <c r="D609">
        <v>41505307253</v>
      </c>
      <c r="E609" s="1">
        <v>46239.472274189815</v>
      </c>
      <c r="F609">
        <v>115</v>
      </c>
      <c r="G609">
        <v>3</v>
      </c>
      <c r="H609" t="s">
        <v>4</v>
      </c>
      <c r="I609" t="s">
        <v>5</v>
      </c>
      <c r="J609" t="s">
        <v>6</v>
      </c>
      <c r="K609">
        <v>73125724</v>
      </c>
      <c r="L609">
        <v>406437</v>
      </c>
      <c r="M609">
        <v>20000</v>
      </c>
      <c r="N609" t="s">
        <v>7</v>
      </c>
      <c r="O609">
        <v>259696.78</v>
      </c>
      <c r="P609" t="s">
        <v>392</v>
      </c>
      <c r="Q609" t="s">
        <v>11</v>
      </c>
      <c r="R609">
        <v>137636890</v>
      </c>
      <c r="S609">
        <v>137636890</v>
      </c>
      <c r="T609">
        <v>137636890</v>
      </c>
      <c r="U609" t="s">
        <v>393</v>
      </c>
      <c r="V609" t="s">
        <v>9</v>
      </c>
    </row>
    <row r="610" spans="1:22" x14ac:dyDescent="0.25">
      <c r="A610">
        <v>41505261918</v>
      </c>
      <c r="B610" t="s">
        <v>10</v>
      </c>
      <c r="C610" t="s">
        <v>193</v>
      </c>
      <c r="D610">
        <v>41505261918</v>
      </c>
      <c r="E610" s="1">
        <v>46239.45523983796</v>
      </c>
      <c r="F610">
        <v>69</v>
      </c>
      <c r="G610">
        <v>3</v>
      </c>
      <c r="H610" t="s">
        <v>350</v>
      </c>
      <c r="I610" t="s">
        <v>5</v>
      </c>
      <c r="J610" t="s">
        <v>6</v>
      </c>
      <c r="K610">
        <v>12517060</v>
      </c>
      <c r="L610">
        <v>309493</v>
      </c>
      <c r="M610">
        <v>1999000</v>
      </c>
      <c r="N610" t="s">
        <v>7</v>
      </c>
      <c r="O610">
        <v>25956695.010000002</v>
      </c>
      <c r="P610" t="s">
        <v>45</v>
      </c>
      <c r="Q610" t="s">
        <v>8</v>
      </c>
      <c r="R610">
        <v>88738513</v>
      </c>
      <c r="S610">
        <v>88738513</v>
      </c>
      <c r="T610">
        <v>88738513</v>
      </c>
      <c r="U610" t="s">
        <v>126</v>
      </c>
      <c r="V610" t="s">
        <v>15</v>
      </c>
    </row>
    <row r="611" spans="1:22" x14ac:dyDescent="0.25">
      <c r="A611">
        <v>41505232361</v>
      </c>
      <c r="B611" t="s">
        <v>10</v>
      </c>
      <c r="C611" t="s">
        <v>193</v>
      </c>
      <c r="D611">
        <v>41505232361</v>
      </c>
      <c r="E611" s="1">
        <v>46239.444123564812</v>
      </c>
      <c r="F611">
        <v>69</v>
      </c>
      <c r="G611">
        <v>3</v>
      </c>
      <c r="H611" t="s">
        <v>344</v>
      </c>
      <c r="I611" t="s">
        <v>5</v>
      </c>
      <c r="J611" t="s">
        <v>6</v>
      </c>
      <c r="K611">
        <v>67752705</v>
      </c>
      <c r="L611">
        <v>536123</v>
      </c>
      <c r="M611">
        <v>125000</v>
      </c>
      <c r="N611" t="s">
        <v>7</v>
      </c>
      <c r="O611">
        <v>1623104.98</v>
      </c>
      <c r="P611" t="s">
        <v>345</v>
      </c>
      <c r="Q611" t="s">
        <v>8</v>
      </c>
      <c r="R611">
        <v>115992786</v>
      </c>
      <c r="S611">
        <v>115992786</v>
      </c>
      <c r="T611">
        <v>115992786</v>
      </c>
      <c r="U611" t="s">
        <v>346</v>
      </c>
      <c r="V611" t="s">
        <v>9</v>
      </c>
    </row>
    <row r="612" spans="1:22" x14ac:dyDescent="0.25">
      <c r="A612">
        <v>41505066348</v>
      </c>
      <c r="B612" t="s">
        <v>10</v>
      </c>
      <c r="C612" t="s">
        <v>193</v>
      </c>
      <c r="D612">
        <v>41505066348</v>
      </c>
      <c r="E612" s="1">
        <v>46239.360861435183</v>
      </c>
      <c r="F612">
        <v>115</v>
      </c>
      <c r="G612">
        <v>3</v>
      </c>
      <c r="H612" t="s">
        <v>4</v>
      </c>
      <c r="I612" t="s">
        <v>5</v>
      </c>
      <c r="J612" t="s">
        <v>6</v>
      </c>
      <c r="K612">
        <v>18282827</v>
      </c>
      <c r="L612">
        <v>980420</v>
      </c>
      <c r="M612">
        <v>17495</v>
      </c>
      <c r="N612" t="s">
        <v>7</v>
      </c>
      <c r="O612">
        <v>227169.75</v>
      </c>
      <c r="P612" t="s">
        <v>36</v>
      </c>
      <c r="Q612" t="s">
        <v>11</v>
      </c>
      <c r="R612">
        <v>144653623</v>
      </c>
      <c r="S612">
        <v>144653623</v>
      </c>
      <c r="T612">
        <v>144653623</v>
      </c>
      <c r="U612" t="s">
        <v>310</v>
      </c>
      <c r="V612" t="s">
        <v>9</v>
      </c>
    </row>
    <row r="613" spans="1:22" x14ac:dyDescent="0.25">
      <c r="A613">
        <v>41507644990</v>
      </c>
      <c r="B613" t="s">
        <v>10</v>
      </c>
      <c r="C613" t="s">
        <v>193</v>
      </c>
      <c r="D613">
        <v>41507644990</v>
      </c>
      <c r="E613" s="1">
        <v>46240.765208333331</v>
      </c>
      <c r="F613">
        <v>115</v>
      </c>
      <c r="G613">
        <v>3</v>
      </c>
      <c r="H613" t="s">
        <v>4</v>
      </c>
      <c r="I613" t="s">
        <v>5</v>
      </c>
      <c r="J613" t="s">
        <v>6</v>
      </c>
      <c r="K613">
        <v>70663619</v>
      </c>
      <c r="L613">
        <v>609204</v>
      </c>
      <c r="M613">
        <v>19990</v>
      </c>
      <c r="N613" t="s">
        <v>7</v>
      </c>
      <c r="O613">
        <v>259566.93</v>
      </c>
      <c r="P613" t="s">
        <v>313</v>
      </c>
      <c r="Q613" t="s">
        <v>11</v>
      </c>
      <c r="R613">
        <v>92008465</v>
      </c>
      <c r="S613">
        <v>92008465</v>
      </c>
      <c r="T613">
        <v>92008465</v>
      </c>
      <c r="U613" t="s">
        <v>314</v>
      </c>
      <c r="V613" t="s">
        <v>9</v>
      </c>
    </row>
    <row r="614" spans="1:22" x14ac:dyDescent="0.25">
      <c r="A614">
        <v>41507542452</v>
      </c>
      <c r="B614" t="s">
        <v>2</v>
      </c>
      <c r="C614" t="s">
        <v>193</v>
      </c>
      <c r="D614">
        <v>41507542452</v>
      </c>
      <c r="E614" s="1">
        <v>46240.723994270833</v>
      </c>
      <c r="F614">
        <v>115</v>
      </c>
      <c r="G614">
        <v>3</v>
      </c>
      <c r="H614" t="s">
        <v>4</v>
      </c>
      <c r="I614" t="s">
        <v>5</v>
      </c>
      <c r="J614" t="s">
        <v>6</v>
      </c>
      <c r="K614">
        <v>83770192</v>
      </c>
      <c r="L614">
        <v>203964</v>
      </c>
      <c r="M614">
        <v>99000</v>
      </c>
      <c r="N614" t="s">
        <v>7</v>
      </c>
      <c r="O614">
        <v>1285499.1399999999</v>
      </c>
      <c r="P614" t="s">
        <v>275</v>
      </c>
      <c r="Q614" t="s">
        <v>8</v>
      </c>
      <c r="R614">
        <v>111831293</v>
      </c>
      <c r="S614">
        <v>111831293</v>
      </c>
      <c r="T614">
        <v>111831293</v>
      </c>
      <c r="U614" t="s">
        <v>276</v>
      </c>
      <c r="V614" t="s">
        <v>9</v>
      </c>
    </row>
    <row r="615" spans="1:22" x14ac:dyDescent="0.25">
      <c r="A615">
        <v>41507370412</v>
      </c>
      <c r="B615" t="s">
        <v>10</v>
      </c>
      <c r="C615" t="s">
        <v>193</v>
      </c>
      <c r="D615">
        <v>41507370412</v>
      </c>
      <c r="E615" s="1">
        <v>46240.658783715277</v>
      </c>
      <c r="F615">
        <v>69</v>
      </c>
      <c r="G615">
        <v>3</v>
      </c>
      <c r="H615" t="s">
        <v>336</v>
      </c>
      <c r="I615" t="s">
        <v>5</v>
      </c>
      <c r="J615" t="s">
        <v>6</v>
      </c>
      <c r="K615">
        <v>94457662</v>
      </c>
      <c r="L615">
        <v>10541</v>
      </c>
      <c r="M615">
        <v>131250</v>
      </c>
      <c r="N615" t="s">
        <v>7</v>
      </c>
      <c r="O615">
        <v>1704260.23</v>
      </c>
      <c r="P615" t="s">
        <v>337</v>
      </c>
      <c r="Q615" t="s">
        <v>8</v>
      </c>
      <c r="R615">
        <v>103220075</v>
      </c>
      <c r="S615">
        <v>103220075</v>
      </c>
      <c r="T615">
        <v>103220075</v>
      </c>
      <c r="U615" t="s">
        <v>338</v>
      </c>
      <c r="V615" t="s">
        <v>9</v>
      </c>
    </row>
    <row r="616" spans="1:22" x14ac:dyDescent="0.25">
      <c r="A616">
        <v>41506963348</v>
      </c>
      <c r="B616" t="s">
        <v>10</v>
      </c>
      <c r="C616" t="s">
        <v>193</v>
      </c>
      <c r="D616">
        <v>41506963348</v>
      </c>
      <c r="E616" s="1">
        <v>46240.516552615743</v>
      </c>
      <c r="F616">
        <v>115</v>
      </c>
      <c r="G616">
        <v>3</v>
      </c>
      <c r="H616" t="s">
        <v>4</v>
      </c>
      <c r="I616" t="s">
        <v>5</v>
      </c>
      <c r="J616" t="s">
        <v>6</v>
      </c>
      <c r="K616">
        <v>24289144</v>
      </c>
      <c r="L616">
        <v>70246</v>
      </c>
      <c r="M616">
        <v>10000</v>
      </c>
      <c r="N616" t="s">
        <v>7</v>
      </c>
      <c r="O616">
        <v>129848.44</v>
      </c>
      <c r="P616" t="s">
        <v>394</v>
      </c>
      <c r="Q616" t="s">
        <v>8</v>
      </c>
      <c r="R616">
        <v>102720141</v>
      </c>
      <c r="S616">
        <v>102720141</v>
      </c>
      <c r="T616">
        <v>102720141</v>
      </c>
      <c r="U616" t="s">
        <v>395</v>
      </c>
      <c r="V616" t="s">
        <v>9</v>
      </c>
    </row>
    <row r="617" spans="1:22" x14ac:dyDescent="0.25">
      <c r="A617">
        <v>41506990571</v>
      </c>
      <c r="B617" t="s">
        <v>10</v>
      </c>
      <c r="C617" t="s">
        <v>193</v>
      </c>
      <c r="D617">
        <v>41506990571</v>
      </c>
      <c r="E617" s="1">
        <v>46240.525483391204</v>
      </c>
      <c r="F617">
        <v>115</v>
      </c>
      <c r="G617">
        <v>3</v>
      </c>
      <c r="H617" t="s">
        <v>396</v>
      </c>
      <c r="I617" t="s">
        <v>5</v>
      </c>
      <c r="J617" t="s">
        <v>6</v>
      </c>
      <c r="K617">
        <v>71719882</v>
      </c>
      <c r="L617">
        <v>403412</v>
      </c>
      <c r="M617">
        <v>12603.4</v>
      </c>
      <c r="N617" t="s">
        <v>7</v>
      </c>
      <c r="O617">
        <v>163653.15</v>
      </c>
      <c r="P617" t="s">
        <v>397</v>
      </c>
      <c r="Q617" t="s">
        <v>11</v>
      </c>
      <c r="R617">
        <v>111842779</v>
      </c>
      <c r="S617">
        <v>111842779</v>
      </c>
      <c r="T617">
        <v>111842779</v>
      </c>
      <c r="U617" t="s">
        <v>398</v>
      </c>
      <c r="V617" t="s">
        <v>399</v>
      </c>
    </row>
    <row r="618" spans="1:22" x14ac:dyDescent="0.25">
      <c r="A618">
        <v>41506645860</v>
      </c>
      <c r="B618" t="s">
        <v>10</v>
      </c>
      <c r="C618" t="s">
        <v>193</v>
      </c>
      <c r="D618">
        <v>41506645860</v>
      </c>
      <c r="E618" s="1">
        <v>46240.388627326392</v>
      </c>
      <c r="F618">
        <v>115</v>
      </c>
      <c r="G618">
        <v>3</v>
      </c>
      <c r="H618" t="s">
        <v>400</v>
      </c>
      <c r="I618" t="s">
        <v>5</v>
      </c>
      <c r="J618" t="s">
        <v>6</v>
      </c>
      <c r="K618">
        <v>11729470</v>
      </c>
      <c r="L618">
        <v>404519</v>
      </c>
      <c r="M618">
        <v>14000</v>
      </c>
      <c r="N618" t="s">
        <v>7</v>
      </c>
      <c r="O618">
        <v>181787.72</v>
      </c>
      <c r="P618" t="s">
        <v>401</v>
      </c>
      <c r="Q618" t="s">
        <v>8</v>
      </c>
      <c r="R618">
        <v>111775979</v>
      </c>
      <c r="S618">
        <v>111775979</v>
      </c>
      <c r="T618">
        <v>111775979</v>
      </c>
      <c r="U618" t="s">
        <v>402</v>
      </c>
      <c r="V618" t="s">
        <v>9</v>
      </c>
    </row>
    <row r="619" spans="1:22" x14ac:dyDescent="0.25">
      <c r="A619">
        <v>41506604141</v>
      </c>
      <c r="B619" t="s">
        <v>10</v>
      </c>
      <c r="C619" t="s">
        <v>193</v>
      </c>
      <c r="D619">
        <v>41506604141</v>
      </c>
      <c r="E619" s="1">
        <v>46240.363165173614</v>
      </c>
      <c r="F619">
        <v>115</v>
      </c>
      <c r="G619">
        <v>3</v>
      </c>
      <c r="H619" t="s">
        <v>4</v>
      </c>
      <c r="I619" t="s">
        <v>5</v>
      </c>
      <c r="J619" t="s">
        <v>6</v>
      </c>
      <c r="K619">
        <v>18406146</v>
      </c>
      <c r="L619">
        <v>406369</v>
      </c>
      <c r="M619">
        <v>40000</v>
      </c>
      <c r="N619" t="s">
        <v>7</v>
      </c>
      <c r="O619">
        <v>519393.55</v>
      </c>
      <c r="P619" t="s">
        <v>315</v>
      </c>
      <c r="Q619" t="s">
        <v>8</v>
      </c>
      <c r="R619">
        <v>113231211</v>
      </c>
      <c r="S619">
        <v>113231211</v>
      </c>
      <c r="T619">
        <v>113231211</v>
      </c>
      <c r="U619" t="s">
        <v>316</v>
      </c>
      <c r="V619" t="s">
        <v>9</v>
      </c>
    </row>
    <row r="620" spans="1:22" x14ac:dyDescent="0.25">
      <c r="A620">
        <v>41506612587</v>
      </c>
      <c r="B620" t="s">
        <v>2</v>
      </c>
      <c r="C620" t="s">
        <v>193</v>
      </c>
      <c r="D620">
        <v>41506612587</v>
      </c>
      <c r="E620" s="1">
        <v>46240.368106863425</v>
      </c>
      <c r="F620">
        <v>115</v>
      </c>
      <c r="G620">
        <v>3</v>
      </c>
      <c r="H620" t="s">
        <v>4</v>
      </c>
      <c r="I620" t="s">
        <v>5</v>
      </c>
      <c r="J620" t="s">
        <v>6</v>
      </c>
      <c r="K620">
        <v>83280502</v>
      </c>
      <c r="L620">
        <v>230120</v>
      </c>
      <c r="M620">
        <v>10000</v>
      </c>
      <c r="N620" t="s">
        <v>7</v>
      </c>
      <c r="O620">
        <v>129848.44</v>
      </c>
      <c r="P620" t="s">
        <v>79</v>
      </c>
      <c r="Q620" t="s">
        <v>11</v>
      </c>
      <c r="R620">
        <v>141378075</v>
      </c>
      <c r="S620">
        <v>141378075</v>
      </c>
      <c r="T620">
        <v>141378075</v>
      </c>
      <c r="U620" t="s">
        <v>355</v>
      </c>
      <c r="V620" t="s">
        <v>9</v>
      </c>
    </row>
    <row r="621" spans="1:22" x14ac:dyDescent="0.25">
      <c r="A621">
        <v>41509375121</v>
      </c>
      <c r="B621" t="s">
        <v>2</v>
      </c>
      <c r="C621" t="s">
        <v>193</v>
      </c>
      <c r="D621">
        <v>41509375121</v>
      </c>
      <c r="E621" s="1">
        <v>46241.82651215278</v>
      </c>
      <c r="F621">
        <v>115</v>
      </c>
      <c r="G621">
        <v>3</v>
      </c>
      <c r="H621" t="s">
        <v>4</v>
      </c>
      <c r="I621" t="s">
        <v>5</v>
      </c>
      <c r="J621" t="s">
        <v>6</v>
      </c>
      <c r="K621">
        <v>93108627</v>
      </c>
      <c r="L621">
        <v>206518</v>
      </c>
      <c r="M621">
        <v>30000</v>
      </c>
      <c r="N621" t="s">
        <v>7</v>
      </c>
      <c r="O621">
        <v>389545.21</v>
      </c>
      <c r="P621" t="s">
        <v>339</v>
      </c>
      <c r="Q621" t="s">
        <v>8</v>
      </c>
      <c r="R621">
        <v>110890316</v>
      </c>
      <c r="S621">
        <v>110890316</v>
      </c>
      <c r="T621">
        <v>110890316</v>
      </c>
      <c r="U621" t="s">
        <v>340</v>
      </c>
      <c r="V621" t="s">
        <v>9</v>
      </c>
    </row>
    <row r="622" spans="1:22" x14ac:dyDescent="0.25">
      <c r="A622">
        <v>41509275856</v>
      </c>
      <c r="B622" t="s">
        <v>10</v>
      </c>
      <c r="C622" t="s">
        <v>193</v>
      </c>
      <c r="D622">
        <v>41509275856</v>
      </c>
      <c r="E622" s="1">
        <v>46241.777057395833</v>
      </c>
      <c r="F622">
        <v>115</v>
      </c>
      <c r="G622">
        <v>3</v>
      </c>
      <c r="H622" t="s">
        <v>341</v>
      </c>
      <c r="I622" t="s">
        <v>5</v>
      </c>
      <c r="J622" t="s">
        <v>6</v>
      </c>
      <c r="K622">
        <v>54560668</v>
      </c>
      <c r="L622">
        <v>231470</v>
      </c>
      <c r="M622">
        <v>10000</v>
      </c>
      <c r="N622" t="s">
        <v>7</v>
      </c>
      <c r="O622">
        <v>129848.44</v>
      </c>
      <c r="P622" t="s">
        <v>342</v>
      </c>
      <c r="Q622" t="s">
        <v>8</v>
      </c>
      <c r="R622">
        <v>125390674</v>
      </c>
      <c r="S622">
        <v>125390674</v>
      </c>
      <c r="T622">
        <v>125390674</v>
      </c>
      <c r="U622" t="s">
        <v>343</v>
      </c>
      <c r="V622" t="s">
        <v>9</v>
      </c>
    </row>
    <row r="623" spans="1:22" x14ac:dyDescent="0.25">
      <c r="A623">
        <v>41508798982</v>
      </c>
      <c r="B623" t="s">
        <v>10</v>
      </c>
      <c r="C623" t="s">
        <v>193</v>
      </c>
      <c r="D623">
        <v>41508798982</v>
      </c>
      <c r="E623" s="1">
        <v>46241.599341331021</v>
      </c>
      <c r="F623">
        <v>115</v>
      </c>
      <c r="G623">
        <v>3</v>
      </c>
      <c r="H623" t="s">
        <v>4</v>
      </c>
      <c r="I623" t="s">
        <v>5</v>
      </c>
      <c r="J623" t="s">
        <v>6</v>
      </c>
      <c r="K623">
        <v>68423381</v>
      </c>
      <c r="L623">
        <v>40004</v>
      </c>
      <c r="M623">
        <v>13200</v>
      </c>
      <c r="N623" t="s">
        <v>7</v>
      </c>
      <c r="O623">
        <v>171399.84</v>
      </c>
      <c r="P623" t="s">
        <v>317</v>
      </c>
      <c r="Q623" t="s">
        <v>11</v>
      </c>
      <c r="R623">
        <v>99706335</v>
      </c>
      <c r="S623">
        <v>99706335</v>
      </c>
      <c r="T623">
        <v>99706335</v>
      </c>
      <c r="U623" t="s">
        <v>318</v>
      </c>
      <c r="V623" t="s">
        <v>9</v>
      </c>
    </row>
    <row r="624" spans="1:22" x14ac:dyDescent="0.25">
      <c r="A624">
        <v>41508714421</v>
      </c>
      <c r="B624" t="s">
        <v>10</v>
      </c>
      <c r="C624" t="s">
        <v>193</v>
      </c>
      <c r="D624">
        <v>41508714421</v>
      </c>
      <c r="E624" s="1">
        <v>46241.569795671297</v>
      </c>
      <c r="F624">
        <v>115</v>
      </c>
      <c r="G624">
        <v>3</v>
      </c>
      <c r="H624" t="s">
        <v>4</v>
      </c>
      <c r="I624" t="s">
        <v>5</v>
      </c>
      <c r="J624" t="s">
        <v>6</v>
      </c>
      <c r="K624">
        <v>83770192</v>
      </c>
      <c r="L624">
        <v>203964</v>
      </c>
      <c r="M624">
        <v>99000</v>
      </c>
      <c r="N624" t="s">
        <v>7</v>
      </c>
      <c r="O624">
        <v>1285499.1399999999</v>
      </c>
      <c r="P624" t="s">
        <v>275</v>
      </c>
      <c r="Q624" t="s">
        <v>8</v>
      </c>
      <c r="R624">
        <v>111831293</v>
      </c>
      <c r="S624">
        <v>111831293</v>
      </c>
      <c r="T624">
        <v>111831293</v>
      </c>
      <c r="U624" t="s">
        <v>276</v>
      </c>
      <c r="V624" t="s">
        <v>9</v>
      </c>
    </row>
    <row r="625" spans="1:22" x14ac:dyDescent="0.25">
      <c r="A625">
        <v>41508569084</v>
      </c>
      <c r="B625" t="s">
        <v>10</v>
      </c>
      <c r="C625" t="s">
        <v>193</v>
      </c>
      <c r="D625">
        <v>41508569084</v>
      </c>
      <c r="E625" s="1">
        <v>46241.525195162038</v>
      </c>
      <c r="F625">
        <v>115</v>
      </c>
      <c r="G625">
        <v>3</v>
      </c>
      <c r="H625" t="s">
        <v>4</v>
      </c>
      <c r="I625" t="s">
        <v>5</v>
      </c>
      <c r="J625" t="s">
        <v>6</v>
      </c>
      <c r="K625">
        <v>90673684</v>
      </c>
      <c r="L625">
        <v>204451</v>
      </c>
      <c r="M625">
        <v>49999</v>
      </c>
      <c r="N625" t="s">
        <v>7</v>
      </c>
      <c r="O625">
        <v>649229.06000000006</v>
      </c>
      <c r="P625" t="s">
        <v>277</v>
      </c>
      <c r="Q625" t="s">
        <v>8</v>
      </c>
      <c r="R625">
        <v>145002978</v>
      </c>
      <c r="S625">
        <v>145002978</v>
      </c>
      <c r="T625">
        <v>145002978</v>
      </c>
      <c r="U625" t="s">
        <v>278</v>
      </c>
      <c r="V625" t="s">
        <v>9</v>
      </c>
    </row>
    <row r="626" spans="1:22" x14ac:dyDescent="0.25">
      <c r="A626">
        <v>41512058559</v>
      </c>
      <c r="B626" t="s">
        <v>10</v>
      </c>
      <c r="C626" t="s">
        <v>193</v>
      </c>
      <c r="D626">
        <v>41512058559</v>
      </c>
      <c r="E626" s="1">
        <v>46243.834629398145</v>
      </c>
      <c r="F626">
        <v>115</v>
      </c>
      <c r="G626">
        <v>3</v>
      </c>
      <c r="H626" t="s">
        <v>4</v>
      </c>
      <c r="I626" t="s">
        <v>5</v>
      </c>
      <c r="J626" t="s">
        <v>6</v>
      </c>
      <c r="K626">
        <v>48042380</v>
      </c>
      <c r="L626">
        <v>70116</v>
      </c>
      <c r="M626">
        <v>53295</v>
      </c>
      <c r="N626" t="s">
        <v>7</v>
      </c>
      <c r="O626">
        <v>692027.05</v>
      </c>
      <c r="P626" t="s">
        <v>319</v>
      </c>
      <c r="Q626" t="s">
        <v>8</v>
      </c>
      <c r="R626">
        <v>128207073</v>
      </c>
      <c r="S626">
        <v>128207073</v>
      </c>
      <c r="T626">
        <v>128207073</v>
      </c>
      <c r="U626" t="s">
        <v>320</v>
      </c>
      <c r="V626" t="s">
        <v>321</v>
      </c>
    </row>
    <row r="627" spans="1:22" x14ac:dyDescent="0.25">
      <c r="A627">
        <v>41447679199</v>
      </c>
      <c r="B627" t="s">
        <v>10</v>
      </c>
      <c r="C627" t="s">
        <v>232</v>
      </c>
      <c r="D627">
        <v>41447679199</v>
      </c>
      <c r="E627" s="1">
        <v>46204.67572190972</v>
      </c>
      <c r="F627">
        <v>115</v>
      </c>
      <c r="G627">
        <v>3</v>
      </c>
      <c r="H627" t="s">
        <v>4</v>
      </c>
      <c r="I627" t="s">
        <v>5</v>
      </c>
      <c r="J627" t="s">
        <v>6</v>
      </c>
      <c r="K627">
        <v>9204083</v>
      </c>
      <c r="L627">
        <v>40075</v>
      </c>
      <c r="M627">
        <v>50000</v>
      </c>
      <c r="N627" t="s">
        <v>7</v>
      </c>
      <c r="O627">
        <v>643235.32999999996</v>
      </c>
      <c r="P627" t="s">
        <v>53</v>
      </c>
      <c r="Q627" t="s">
        <v>8</v>
      </c>
      <c r="R627">
        <v>142592674</v>
      </c>
      <c r="S627">
        <v>142592674</v>
      </c>
      <c r="T627">
        <v>142592674</v>
      </c>
      <c r="U627" t="s">
        <v>54</v>
      </c>
      <c r="V627" t="s">
        <v>15</v>
      </c>
    </row>
    <row r="628" spans="1:22" x14ac:dyDescent="0.25">
      <c r="A628">
        <v>41446946687</v>
      </c>
      <c r="B628" t="s">
        <v>10</v>
      </c>
      <c r="C628" t="s">
        <v>232</v>
      </c>
      <c r="D628">
        <v>41446946687</v>
      </c>
      <c r="E628" s="1">
        <v>46204.446696261577</v>
      </c>
      <c r="F628">
        <v>69</v>
      </c>
      <c r="G628">
        <v>3</v>
      </c>
      <c r="H628" t="s">
        <v>4</v>
      </c>
      <c r="I628" t="s">
        <v>5</v>
      </c>
      <c r="J628" t="s">
        <v>6</v>
      </c>
      <c r="K628">
        <v>80432571</v>
      </c>
      <c r="L628">
        <v>200771</v>
      </c>
      <c r="M628">
        <v>320000</v>
      </c>
      <c r="N628" t="s">
        <v>7</v>
      </c>
      <c r="O628">
        <v>4116705.96</v>
      </c>
      <c r="P628" t="s">
        <v>129</v>
      </c>
      <c r="Q628" t="s">
        <v>8</v>
      </c>
      <c r="R628">
        <v>88738513</v>
      </c>
      <c r="S628">
        <v>88738513</v>
      </c>
      <c r="T628">
        <v>88738513</v>
      </c>
      <c r="U628" t="s">
        <v>126</v>
      </c>
      <c r="V628" t="s">
        <v>15</v>
      </c>
    </row>
    <row r="629" spans="1:22" x14ac:dyDescent="0.25">
      <c r="A629">
        <v>41446939640</v>
      </c>
      <c r="B629" t="s">
        <v>10</v>
      </c>
      <c r="C629" t="s">
        <v>232</v>
      </c>
      <c r="D629">
        <v>41446939640</v>
      </c>
      <c r="E629" s="1">
        <v>46204.443933437498</v>
      </c>
      <c r="F629">
        <v>69</v>
      </c>
      <c r="G629">
        <v>3</v>
      </c>
      <c r="H629" t="s">
        <v>4</v>
      </c>
      <c r="I629" t="s">
        <v>5</v>
      </c>
      <c r="J629" t="s">
        <v>6</v>
      </c>
      <c r="K629">
        <v>80432571</v>
      </c>
      <c r="L629">
        <v>200771</v>
      </c>
      <c r="M629">
        <v>1500000</v>
      </c>
      <c r="N629" t="s">
        <v>7</v>
      </c>
      <c r="O629">
        <v>19297059.140000001</v>
      </c>
      <c r="P629" t="s">
        <v>36</v>
      </c>
      <c r="Q629" t="s">
        <v>8</v>
      </c>
      <c r="R629">
        <v>88738513</v>
      </c>
      <c r="S629">
        <v>88738513</v>
      </c>
      <c r="T629">
        <v>88738513</v>
      </c>
      <c r="U629" t="s">
        <v>126</v>
      </c>
      <c r="V629" t="s">
        <v>15</v>
      </c>
    </row>
    <row r="630" spans="1:22" x14ac:dyDescent="0.25">
      <c r="A630">
        <v>41449900442</v>
      </c>
      <c r="B630" t="s">
        <v>10</v>
      </c>
      <c r="C630" t="s">
        <v>232</v>
      </c>
      <c r="D630">
        <v>41449900442</v>
      </c>
      <c r="E630" s="1">
        <v>46205.823843437502</v>
      </c>
      <c r="F630">
        <v>115</v>
      </c>
      <c r="G630">
        <v>3</v>
      </c>
      <c r="H630" t="s">
        <v>4</v>
      </c>
      <c r="I630" t="s">
        <v>5</v>
      </c>
      <c r="J630" t="s">
        <v>6</v>
      </c>
      <c r="K630">
        <v>50604895</v>
      </c>
      <c r="L630">
        <v>204673</v>
      </c>
      <c r="M630">
        <v>25000</v>
      </c>
      <c r="N630" t="s">
        <v>7</v>
      </c>
      <c r="O630">
        <v>322637.40999999997</v>
      </c>
      <c r="P630" t="s">
        <v>56</v>
      </c>
      <c r="Q630" t="s">
        <v>8</v>
      </c>
      <c r="R630">
        <v>148159213</v>
      </c>
      <c r="S630">
        <v>148159213</v>
      </c>
      <c r="T630">
        <v>148159213</v>
      </c>
      <c r="U630" t="s">
        <v>57</v>
      </c>
      <c r="V630" t="s">
        <v>9</v>
      </c>
    </row>
    <row r="631" spans="1:22" x14ac:dyDescent="0.25">
      <c r="A631">
        <v>41449578507</v>
      </c>
      <c r="B631" t="s">
        <v>10</v>
      </c>
      <c r="C631" t="s">
        <v>232</v>
      </c>
      <c r="D631">
        <v>41449578507</v>
      </c>
      <c r="E631" s="1">
        <v>46205.701892407407</v>
      </c>
      <c r="F631">
        <v>115</v>
      </c>
      <c r="G631">
        <v>3</v>
      </c>
      <c r="H631" t="s">
        <v>4</v>
      </c>
      <c r="I631" t="s">
        <v>5</v>
      </c>
      <c r="J631" t="s">
        <v>6</v>
      </c>
      <c r="K631">
        <v>61658919</v>
      </c>
      <c r="L631">
        <v>406437</v>
      </c>
      <c r="M631">
        <v>90000</v>
      </c>
      <c r="N631" t="s">
        <v>7</v>
      </c>
      <c r="O631">
        <v>1161494.57</v>
      </c>
      <c r="P631" t="s">
        <v>58</v>
      </c>
      <c r="Q631" t="s">
        <v>8</v>
      </c>
      <c r="R631">
        <v>86816444</v>
      </c>
      <c r="S631">
        <v>86816444</v>
      </c>
      <c r="T631">
        <v>86816444</v>
      </c>
      <c r="U631" t="s">
        <v>59</v>
      </c>
      <c r="V631" t="s">
        <v>9</v>
      </c>
    </row>
    <row r="632" spans="1:22" x14ac:dyDescent="0.25">
      <c r="A632">
        <v>41449008948</v>
      </c>
      <c r="B632" t="s">
        <v>10</v>
      </c>
      <c r="C632" t="s">
        <v>232</v>
      </c>
      <c r="D632">
        <v>41449008948</v>
      </c>
      <c r="E632" s="1">
        <v>46205.52361358796</v>
      </c>
      <c r="F632">
        <v>69</v>
      </c>
      <c r="G632">
        <v>3</v>
      </c>
      <c r="H632" t="s">
        <v>4</v>
      </c>
      <c r="I632" t="s">
        <v>5</v>
      </c>
      <c r="J632" t="s">
        <v>6</v>
      </c>
      <c r="K632">
        <v>9204083</v>
      </c>
      <c r="L632">
        <v>40075</v>
      </c>
      <c r="M632">
        <v>340000</v>
      </c>
      <c r="N632" t="s">
        <v>7</v>
      </c>
      <c r="O632">
        <v>4387868.55</v>
      </c>
      <c r="P632" t="s">
        <v>160</v>
      </c>
      <c r="Q632" t="s">
        <v>8</v>
      </c>
      <c r="R632">
        <v>142592674</v>
      </c>
      <c r="S632">
        <v>142592674</v>
      </c>
      <c r="T632">
        <v>142592674</v>
      </c>
      <c r="U632" t="s">
        <v>54</v>
      </c>
      <c r="V632" t="s">
        <v>15</v>
      </c>
    </row>
    <row r="633" spans="1:22" x14ac:dyDescent="0.25">
      <c r="A633">
        <v>41448593472</v>
      </c>
      <c r="B633" t="s">
        <v>2</v>
      </c>
      <c r="C633" t="s">
        <v>232</v>
      </c>
      <c r="D633">
        <v>41448593472</v>
      </c>
      <c r="E633" s="1">
        <v>46205.373878738428</v>
      </c>
      <c r="F633">
        <v>115</v>
      </c>
      <c r="G633">
        <v>3</v>
      </c>
      <c r="H633" t="s">
        <v>4</v>
      </c>
      <c r="I633" t="s">
        <v>5</v>
      </c>
      <c r="J633" t="s">
        <v>6</v>
      </c>
      <c r="K633">
        <v>9204083</v>
      </c>
      <c r="L633">
        <v>40075</v>
      </c>
      <c r="M633">
        <v>50000</v>
      </c>
      <c r="N633" t="s">
        <v>7</v>
      </c>
      <c r="O633">
        <v>645274.81999999995</v>
      </c>
      <c r="P633" t="s">
        <v>53</v>
      </c>
      <c r="Q633" t="s">
        <v>8</v>
      </c>
      <c r="R633">
        <v>142592674</v>
      </c>
      <c r="S633">
        <v>142592674</v>
      </c>
      <c r="T633">
        <v>142592674</v>
      </c>
      <c r="U633" t="s">
        <v>54</v>
      </c>
      <c r="V633" t="s">
        <v>15</v>
      </c>
    </row>
    <row r="634" spans="1:22" x14ac:dyDescent="0.25">
      <c r="A634">
        <v>41451347753</v>
      </c>
      <c r="B634" t="s">
        <v>2</v>
      </c>
      <c r="C634" t="s">
        <v>232</v>
      </c>
      <c r="D634">
        <v>41451347753</v>
      </c>
      <c r="E634" s="1">
        <v>46206.680642743057</v>
      </c>
      <c r="F634">
        <v>115</v>
      </c>
      <c r="G634">
        <v>3</v>
      </c>
      <c r="H634" t="s">
        <v>4</v>
      </c>
      <c r="I634" t="s">
        <v>5</v>
      </c>
      <c r="J634" t="s">
        <v>6</v>
      </c>
      <c r="K634">
        <v>16281625</v>
      </c>
      <c r="L634">
        <v>608407</v>
      </c>
      <c r="M634">
        <v>100000</v>
      </c>
      <c r="N634" t="s">
        <v>7</v>
      </c>
      <c r="O634">
        <v>1290549.53</v>
      </c>
      <c r="P634" t="s">
        <v>61</v>
      </c>
      <c r="Q634" t="s">
        <v>8</v>
      </c>
      <c r="R634">
        <v>128533080</v>
      </c>
      <c r="S634">
        <v>128533080</v>
      </c>
      <c r="T634">
        <v>128533080</v>
      </c>
      <c r="U634" t="s">
        <v>62</v>
      </c>
      <c r="V634" t="s">
        <v>63</v>
      </c>
    </row>
    <row r="635" spans="1:22" x14ac:dyDescent="0.25">
      <c r="A635">
        <v>41451344908</v>
      </c>
      <c r="B635" t="s">
        <v>10</v>
      </c>
      <c r="C635" t="s">
        <v>232</v>
      </c>
      <c r="D635">
        <v>41451344908</v>
      </c>
      <c r="E635" s="1">
        <v>46206.679814247684</v>
      </c>
      <c r="F635">
        <v>115</v>
      </c>
      <c r="G635">
        <v>3</v>
      </c>
      <c r="H635" t="s">
        <v>4</v>
      </c>
      <c r="I635" t="s">
        <v>5</v>
      </c>
      <c r="J635" t="s">
        <v>6</v>
      </c>
      <c r="K635">
        <v>16281625</v>
      </c>
      <c r="L635">
        <v>608407</v>
      </c>
      <c r="M635">
        <v>100000</v>
      </c>
      <c r="N635" t="s">
        <v>7</v>
      </c>
      <c r="O635">
        <v>1290549.53</v>
      </c>
      <c r="P635" t="s">
        <v>61</v>
      </c>
      <c r="Q635" t="s">
        <v>8</v>
      </c>
      <c r="R635">
        <v>128533080</v>
      </c>
      <c r="S635">
        <v>128533080</v>
      </c>
      <c r="T635">
        <v>128533080</v>
      </c>
      <c r="U635" t="s">
        <v>62</v>
      </c>
      <c r="V635" t="s">
        <v>63</v>
      </c>
    </row>
    <row r="636" spans="1:22" x14ac:dyDescent="0.25">
      <c r="A636">
        <v>41451349515</v>
      </c>
      <c r="B636" t="s">
        <v>2</v>
      </c>
      <c r="C636" t="s">
        <v>232</v>
      </c>
      <c r="D636">
        <v>41451349515</v>
      </c>
      <c r="E636" s="1">
        <v>46206.681241840277</v>
      </c>
      <c r="F636">
        <v>115</v>
      </c>
      <c r="G636">
        <v>3</v>
      </c>
      <c r="H636" t="s">
        <v>4</v>
      </c>
      <c r="I636" t="s">
        <v>5</v>
      </c>
      <c r="J636" t="s">
        <v>6</v>
      </c>
      <c r="K636">
        <v>16281625</v>
      </c>
      <c r="L636">
        <v>608407</v>
      </c>
      <c r="M636">
        <v>50000</v>
      </c>
      <c r="N636" t="s">
        <v>7</v>
      </c>
      <c r="O636">
        <v>645274.81999999995</v>
      </c>
      <c r="P636" t="s">
        <v>61</v>
      </c>
      <c r="Q636" t="s">
        <v>8</v>
      </c>
      <c r="R636">
        <v>128533080</v>
      </c>
      <c r="S636">
        <v>128533080</v>
      </c>
      <c r="T636">
        <v>128533080</v>
      </c>
      <c r="U636" t="s">
        <v>62</v>
      </c>
      <c r="V636" t="s">
        <v>63</v>
      </c>
    </row>
    <row r="637" spans="1:22" x14ac:dyDescent="0.25">
      <c r="A637">
        <v>41450795129</v>
      </c>
      <c r="B637" t="s">
        <v>2</v>
      </c>
      <c r="C637" t="s">
        <v>232</v>
      </c>
      <c r="D637">
        <v>41450795129</v>
      </c>
      <c r="E637" s="1">
        <v>46206.516615960645</v>
      </c>
      <c r="F637">
        <v>115</v>
      </c>
      <c r="G637">
        <v>3</v>
      </c>
      <c r="H637" t="s">
        <v>68</v>
      </c>
      <c r="I637" t="s">
        <v>5</v>
      </c>
      <c r="J637" t="s">
        <v>6</v>
      </c>
      <c r="K637">
        <v>54606</v>
      </c>
      <c r="L637">
        <v>165760</v>
      </c>
      <c r="M637">
        <v>25000</v>
      </c>
      <c r="N637" t="s">
        <v>7</v>
      </c>
      <c r="O637">
        <v>322637.40999999997</v>
      </c>
      <c r="P637" t="s">
        <v>69</v>
      </c>
      <c r="Q637" t="s">
        <v>8</v>
      </c>
      <c r="R637">
        <v>102909595</v>
      </c>
      <c r="S637">
        <v>102909595</v>
      </c>
      <c r="T637">
        <v>102909595</v>
      </c>
      <c r="U637" t="s">
        <v>70</v>
      </c>
      <c r="V637" t="s">
        <v>9</v>
      </c>
    </row>
    <row r="638" spans="1:22" x14ac:dyDescent="0.25">
      <c r="A638">
        <v>41450493081</v>
      </c>
      <c r="B638" t="s">
        <v>10</v>
      </c>
      <c r="C638" t="s">
        <v>232</v>
      </c>
      <c r="D638">
        <v>41450493081</v>
      </c>
      <c r="E638" s="1">
        <v>46206.41441636574</v>
      </c>
      <c r="F638">
        <v>115</v>
      </c>
      <c r="G638">
        <v>3</v>
      </c>
      <c r="H638" t="s">
        <v>68</v>
      </c>
      <c r="I638" t="s">
        <v>5</v>
      </c>
      <c r="J638" t="s">
        <v>6</v>
      </c>
      <c r="K638">
        <v>54606</v>
      </c>
      <c r="L638">
        <v>165760</v>
      </c>
      <c r="M638">
        <v>100000</v>
      </c>
      <c r="N638" t="s">
        <v>7</v>
      </c>
      <c r="O638">
        <v>1290549.53</v>
      </c>
      <c r="P638" t="s">
        <v>69</v>
      </c>
      <c r="Q638" t="s">
        <v>8</v>
      </c>
      <c r="R638">
        <v>102909595</v>
      </c>
      <c r="S638">
        <v>102909595</v>
      </c>
      <c r="T638">
        <v>102909595</v>
      </c>
      <c r="U638" t="s">
        <v>70</v>
      </c>
      <c r="V638" t="s">
        <v>9</v>
      </c>
    </row>
    <row r="639" spans="1:22" x14ac:dyDescent="0.25">
      <c r="A639">
        <v>41450490464</v>
      </c>
      <c r="B639" t="s">
        <v>10</v>
      </c>
      <c r="C639" t="s">
        <v>232</v>
      </c>
      <c r="D639">
        <v>41450490464</v>
      </c>
      <c r="E639" s="1">
        <v>46206.413236064815</v>
      </c>
      <c r="F639">
        <v>115</v>
      </c>
      <c r="G639">
        <v>3</v>
      </c>
      <c r="H639" t="s">
        <v>68</v>
      </c>
      <c r="I639" t="s">
        <v>5</v>
      </c>
      <c r="J639" t="s">
        <v>6</v>
      </c>
      <c r="K639">
        <v>54606</v>
      </c>
      <c r="L639">
        <v>165760</v>
      </c>
      <c r="M639">
        <v>100000</v>
      </c>
      <c r="N639" t="s">
        <v>7</v>
      </c>
      <c r="O639">
        <v>1290549.53</v>
      </c>
      <c r="P639" t="s">
        <v>69</v>
      </c>
      <c r="Q639" t="s">
        <v>8</v>
      </c>
      <c r="R639">
        <v>102909595</v>
      </c>
      <c r="S639">
        <v>102909595</v>
      </c>
      <c r="T639">
        <v>102909595</v>
      </c>
      <c r="U639" t="s">
        <v>70</v>
      </c>
      <c r="V639" t="s">
        <v>9</v>
      </c>
    </row>
    <row r="640" spans="1:22" x14ac:dyDescent="0.25">
      <c r="A640">
        <v>41450496287</v>
      </c>
      <c r="B640" t="s">
        <v>2</v>
      </c>
      <c r="C640" t="s">
        <v>232</v>
      </c>
      <c r="D640">
        <v>41450496287</v>
      </c>
      <c r="E640" s="1">
        <v>46206.415541354167</v>
      </c>
      <c r="F640">
        <v>115</v>
      </c>
      <c r="G640">
        <v>3</v>
      </c>
      <c r="H640" t="s">
        <v>68</v>
      </c>
      <c r="I640" t="s">
        <v>5</v>
      </c>
      <c r="J640" t="s">
        <v>6</v>
      </c>
      <c r="K640">
        <v>54606</v>
      </c>
      <c r="L640">
        <v>165760</v>
      </c>
      <c r="M640">
        <v>25000</v>
      </c>
      <c r="N640" t="s">
        <v>7</v>
      </c>
      <c r="O640">
        <v>322637.40999999997</v>
      </c>
      <c r="P640" t="s">
        <v>69</v>
      </c>
      <c r="Q640" t="s">
        <v>8</v>
      </c>
      <c r="R640">
        <v>102909595</v>
      </c>
      <c r="S640">
        <v>102909595</v>
      </c>
      <c r="T640">
        <v>102909595</v>
      </c>
      <c r="U640" t="s">
        <v>70</v>
      </c>
      <c r="V640" t="s">
        <v>9</v>
      </c>
    </row>
    <row r="641" spans="1:22" x14ac:dyDescent="0.25">
      <c r="A641">
        <v>41452226654</v>
      </c>
      <c r="B641" t="s">
        <v>2</v>
      </c>
      <c r="C641" t="s">
        <v>232</v>
      </c>
      <c r="D641">
        <v>41452226654</v>
      </c>
      <c r="E641" s="1">
        <v>46207.438342685185</v>
      </c>
      <c r="F641">
        <v>115</v>
      </c>
      <c r="G641">
        <v>3</v>
      </c>
      <c r="H641" t="s">
        <v>4</v>
      </c>
      <c r="I641" t="s">
        <v>5</v>
      </c>
      <c r="J641" t="s">
        <v>6</v>
      </c>
      <c r="K641">
        <v>16281625</v>
      </c>
      <c r="L641">
        <v>608407</v>
      </c>
      <c r="M641">
        <v>100000</v>
      </c>
      <c r="N641" t="s">
        <v>7</v>
      </c>
      <c r="O641">
        <v>1290549.53</v>
      </c>
      <c r="P641" t="s">
        <v>61</v>
      </c>
      <c r="Q641" t="s">
        <v>8</v>
      </c>
      <c r="R641">
        <v>128533080</v>
      </c>
      <c r="S641">
        <v>128533080</v>
      </c>
      <c r="T641">
        <v>128533080</v>
      </c>
      <c r="U641" t="s">
        <v>62</v>
      </c>
      <c r="V641" t="s">
        <v>63</v>
      </c>
    </row>
    <row r="642" spans="1:22" x14ac:dyDescent="0.25">
      <c r="A642">
        <v>41456137866</v>
      </c>
      <c r="B642" t="s">
        <v>10</v>
      </c>
      <c r="C642" t="s">
        <v>232</v>
      </c>
      <c r="D642">
        <v>41456137866</v>
      </c>
      <c r="E642" s="1">
        <v>46209.794501701392</v>
      </c>
      <c r="F642">
        <v>115</v>
      </c>
      <c r="G642">
        <v>3</v>
      </c>
      <c r="H642" t="s">
        <v>4</v>
      </c>
      <c r="I642" t="s">
        <v>5</v>
      </c>
      <c r="J642" t="s">
        <v>6</v>
      </c>
      <c r="K642">
        <v>50254528</v>
      </c>
      <c r="L642">
        <v>41333</v>
      </c>
      <c r="M642">
        <v>60000</v>
      </c>
      <c r="N642" t="s">
        <v>7</v>
      </c>
      <c r="O642">
        <v>774329.78</v>
      </c>
      <c r="P642" t="s">
        <v>169</v>
      </c>
      <c r="Q642" t="s">
        <v>8</v>
      </c>
      <c r="R642">
        <v>114795784</v>
      </c>
      <c r="S642">
        <v>114795784</v>
      </c>
      <c r="T642">
        <v>114795784</v>
      </c>
      <c r="U642" t="s">
        <v>170</v>
      </c>
      <c r="V642" t="s">
        <v>15</v>
      </c>
    </row>
    <row r="643" spans="1:22" x14ac:dyDescent="0.25">
      <c r="A643">
        <v>41455493035</v>
      </c>
      <c r="B643" t="s">
        <v>10</v>
      </c>
      <c r="C643" t="s">
        <v>232</v>
      </c>
      <c r="D643">
        <v>41455493035</v>
      </c>
      <c r="E643" s="1">
        <v>46209.568149166669</v>
      </c>
      <c r="F643">
        <v>115</v>
      </c>
      <c r="G643">
        <v>3</v>
      </c>
      <c r="H643" t="s">
        <v>4</v>
      </c>
      <c r="I643" t="s">
        <v>5</v>
      </c>
      <c r="J643" t="s">
        <v>6</v>
      </c>
      <c r="K643">
        <v>54008774</v>
      </c>
      <c r="L643">
        <v>90643</v>
      </c>
      <c r="M643">
        <v>50000</v>
      </c>
      <c r="N643" t="s">
        <v>7</v>
      </c>
      <c r="O643">
        <v>645274.81999999995</v>
      </c>
      <c r="P643" t="s">
        <v>130</v>
      </c>
      <c r="Q643" t="s">
        <v>8</v>
      </c>
      <c r="R643">
        <v>120919394</v>
      </c>
      <c r="S643">
        <v>120919394</v>
      </c>
      <c r="T643">
        <v>120919394</v>
      </c>
      <c r="U643" t="s">
        <v>131</v>
      </c>
      <c r="V643" t="s">
        <v>9</v>
      </c>
    </row>
    <row r="644" spans="1:22" x14ac:dyDescent="0.25">
      <c r="A644">
        <v>41457559096</v>
      </c>
      <c r="B644" t="s">
        <v>10</v>
      </c>
      <c r="C644" t="s">
        <v>232</v>
      </c>
      <c r="D644">
        <v>41457559096</v>
      </c>
      <c r="E644" s="1">
        <v>46210.693101805555</v>
      </c>
      <c r="F644">
        <v>115</v>
      </c>
      <c r="G644">
        <v>3</v>
      </c>
      <c r="H644" t="s">
        <v>4</v>
      </c>
      <c r="I644" t="s">
        <v>5</v>
      </c>
      <c r="J644" t="s">
        <v>6</v>
      </c>
      <c r="K644">
        <v>50254528</v>
      </c>
      <c r="L644">
        <v>41333</v>
      </c>
      <c r="M644">
        <v>80000</v>
      </c>
      <c r="N644" t="s">
        <v>7</v>
      </c>
      <c r="O644">
        <v>1032439.7</v>
      </c>
      <c r="P644" t="s">
        <v>169</v>
      </c>
      <c r="Q644" t="s">
        <v>8</v>
      </c>
      <c r="R644">
        <v>114795784</v>
      </c>
      <c r="S644">
        <v>114795784</v>
      </c>
      <c r="T644">
        <v>114795784</v>
      </c>
      <c r="U644" t="s">
        <v>170</v>
      </c>
      <c r="V644" t="s">
        <v>15</v>
      </c>
    </row>
    <row r="645" spans="1:22" x14ac:dyDescent="0.25">
      <c r="A645">
        <v>41456899665</v>
      </c>
      <c r="B645" t="s">
        <v>10</v>
      </c>
      <c r="C645" t="s">
        <v>232</v>
      </c>
      <c r="D645">
        <v>41456899665</v>
      </c>
      <c r="E645" s="1">
        <v>46210.477408171297</v>
      </c>
      <c r="F645">
        <v>115</v>
      </c>
      <c r="G645">
        <v>3</v>
      </c>
      <c r="H645" t="s">
        <v>4</v>
      </c>
      <c r="I645" t="s">
        <v>5</v>
      </c>
      <c r="J645" t="s">
        <v>6</v>
      </c>
      <c r="K645">
        <v>85532110</v>
      </c>
      <c r="L645">
        <v>608407</v>
      </c>
      <c r="M645">
        <v>55000</v>
      </c>
      <c r="N645" t="s">
        <v>7</v>
      </c>
      <c r="O645">
        <v>709802.3</v>
      </c>
      <c r="P645" t="s">
        <v>111</v>
      </c>
      <c r="Q645" t="s">
        <v>8</v>
      </c>
      <c r="R645">
        <v>123478273</v>
      </c>
      <c r="S645">
        <v>123478273</v>
      </c>
      <c r="T645">
        <v>123478273</v>
      </c>
      <c r="U645" t="s">
        <v>112</v>
      </c>
      <c r="V645" t="s">
        <v>9</v>
      </c>
    </row>
    <row r="646" spans="1:22" x14ac:dyDescent="0.25">
      <c r="A646">
        <v>41456954979</v>
      </c>
      <c r="B646" t="s">
        <v>2</v>
      </c>
      <c r="C646" t="s">
        <v>232</v>
      </c>
      <c r="D646">
        <v>41456954979</v>
      </c>
      <c r="E646" s="1">
        <v>46210.496085254628</v>
      </c>
      <c r="F646">
        <v>115</v>
      </c>
      <c r="G646">
        <v>3</v>
      </c>
      <c r="H646" t="s">
        <v>4</v>
      </c>
      <c r="I646" t="s">
        <v>5</v>
      </c>
      <c r="J646" t="s">
        <v>6</v>
      </c>
      <c r="K646">
        <v>50254528</v>
      </c>
      <c r="L646">
        <v>41333</v>
      </c>
      <c r="M646">
        <v>80000</v>
      </c>
      <c r="N646" t="s">
        <v>7</v>
      </c>
      <c r="O646">
        <v>1032439.7</v>
      </c>
      <c r="P646" t="s">
        <v>169</v>
      </c>
      <c r="Q646" t="s">
        <v>8</v>
      </c>
      <c r="R646">
        <v>114795784</v>
      </c>
      <c r="S646">
        <v>114795784</v>
      </c>
      <c r="T646">
        <v>114795784</v>
      </c>
      <c r="U646" t="s">
        <v>170</v>
      </c>
      <c r="V646" t="s">
        <v>15</v>
      </c>
    </row>
    <row r="647" spans="1:22" x14ac:dyDescent="0.25">
      <c r="A647">
        <v>41459674249</v>
      </c>
      <c r="B647" t="s">
        <v>10</v>
      </c>
      <c r="C647" t="s">
        <v>232</v>
      </c>
      <c r="D647">
        <v>41459674249</v>
      </c>
      <c r="E647" s="1">
        <v>46211.905969467596</v>
      </c>
      <c r="F647">
        <v>115</v>
      </c>
      <c r="G647">
        <v>3</v>
      </c>
      <c r="H647" t="s">
        <v>135</v>
      </c>
      <c r="I647" t="s">
        <v>5</v>
      </c>
      <c r="J647" t="s">
        <v>6</v>
      </c>
      <c r="K647">
        <v>1362320</v>
      </c>
      <c r="L647">
        <v>304067</v>
      </c>
      <c r="M647">
        <v>20000</v>
      </c>
      <c r="N647" t="s">
        <v>7</v>
      </c>
      <c r="O647">
        <v>258109.93</v>
      </c>
      <c r="P647" t="s">
        <v>139</v>
      </c>
      <c r="Q647" t="s">
        <v>8</v>
      </c>
      <c r="R647">
        <v>115716052</v>
      </c>
      <c r="S647">
        <v>115716052</v>
      </c>
      <c r="T647">
        <v>115716052</v>
      </c>
      <c r="U647" t="s">
        <v>137</v>
      </c>
      <c r="V647" t="s">
        <v>138</v>
      </c>
    </row>
    <row r="648" spans="1:22" x14ac:dyDescent="0.25">
      <c r="A648">
        <v>41458164248</v>
      </c>
      <c r="B648" t="s">
        <v>10</v>
      </c>
      <c r="C648" t="s">
        <v>232</v>
      </c>
      <c r="D648">
        <v>41458164248</v>
      </c>
      <c r="E648" s="1">
        <v>46211.052869004627</v>
      </c>
      <c r="F648">
        <v>115</v>
      </c>
      <c r="G648">
        <v>3</v>
      </c>
      <c r="H648" t="s">
        <v>140</v>
      </c>
      <c r="I648" t="s">
        <v>5</v>
      </c>
      <c r="J648" t="s">
        <v>6</v>
      </c>
      <c r="K648">
        <v>13389011</v>
      </c>
      <c r="L648">
        <v>50200</v>
      </c>
      <c r="M648">
        <v>50000</v>
      </c>
      <c r="N648" t="s">
        <v>7</v>
      </c>
      <c r="O648">
        <v>645274.81999999995</v>
      </c>
      <c r="P648" t="s">
        <v>141</v>
      </c>
      <c r="Q648" t="s">
        <v>8</v>
      </c>
      <c r="R648">
        <v>125587352</v>
      </c>
      <c r="S648">
        <v>125587352</v>
      </c>
      <c r="T648">
        <v>125587352</v>
      </c>
      <c r="U648" t="s">
        <v>142</v>
      </c>
      <c r="V648" t="s">
        <v>9</v>
      </c>
    </row>
    <row r="649" spans="1:22" x14ac:dyDescent="0.25">
      <c r="A649">
        <v>41458164138</v>
      </c>
      <c r="B649" t="s">
        <v>10</v>
      </c>
      <c r="C649" t="s">
        <v>232</v>
      </c>
      <c r="D649">
        <v>41458164138</v>
      </c>
      <c r="E649" s="1">
        <v>46211.052859166666</v>
      </c>
      <c r="F649">
        <v>115</v>
      </c>
      <c r="G649">
        <v>3</v>
      </c>
      <c r="H649" t="s">
        <v>140</v>
      </c>
      <c r="I649" t="s">
        <v>5</v>
      </c>
      <c r="J649" t="s">
        <v>6</v>
      </c>
      <c r="K649">
        <v>13389011</v>
      </c>
      <c r="L649">
        <v>50200</v>
      </c>
      <c r="M649">
        <v>35000</v>
      </c>
      <c r="N649" t="s">
        <v>7</v>
      </c>
      <c r="O649">
        <v>451692.37</v>
      </c>
      <c r="P649" t="s">
        <v>141</v>
      </c>
      <c r="Q649" t="s">
        <v>8</v>
      </c>
      <c r="R649">
        <v>125587352</v>
      </c>
      <c r="S649">
        <v>125587352</v>
      </c>
      <c r="T649">
        <v>125587352</v>
      </c>
      <c r="U649" t="s">
        <v>142</v>
      </c>
      <c r="V649" t="s">
        <v>9</v>
      </c>
    </row>
    <row r="650" spans="1:22" x14ac:dyDescent="0.25">
      <c r="A650">
        <v>41462850655</v>
      </c>
      <c r="B650" t="s">
        <v>2</v>
      </c>
      <c r="C650" t="s">
        <v>232</v>
      </c>
      <c r="D650">
        <v>41462850655</v>
      </c>
      <c r="E650" s="1">
        <v>46213.789105752316</v>
      </c>
      <c r="F650">
        <v>115</v>
      </c>
      <c r="G650">
        <v>3</v>
      </c>
      <c r="H650" t="s">
        <v>143</v>
      </c>
      <c r="I650" t="s">
        <v>5</v>
      </c>
      <c r="J650" t="s">
        <v>6</v>
      </c>
      <c r="K650">
        <v>10235121</v>
      </c>
      <c r="L650">
        <v>403232</v>
      </c>
      <c r="M650">
        <v>80000</v>
      </c>
      <c r="N650" t="s">
        <v>7</v>
      </c>
      <c r="O650">
        <v>1032439.7</v>
      </c>
      <c r="P650" t="s">
        <v>144</v>
      </c>
      <c r="Q650" t="s">
        <v>8</v>
      </c>
      <c r="R650">
        <v>148525652</v>
      </c>
      <c r="S650">
        <v>148525652</v>
      </c>
      <c r="T650">
        <v>148525652</v>
      </c>
      <c r="U650" t="s">
        <v>145</v>
      </c>
      <c r="V650" t="s">
        <v>9</v>
      </c>
    </row>
    <row r="651" spans="1:22" x14ac:dyDescent="0.25">
      <c r="A651">
        <v>41462835117</v>
      </c>
      <c r="B651" t="s">
        <v>10</v>
      </c>
      <c r="C651" t="s">
        <v>232</v>
      </c>
      <c r="D651">
        <v>41462835117</v>
      </c>
      <c r="E651" s="1">
        <v>46213.782349236113</v>
      </c>
      <c r="F651">
        <v>115</v>
      </c>
      <c r="G651">
        <v>3</v>
      </c>
      <c r="H651" t="s">
        <v>143</v>
      </c>
      <c r="I651" t="s">
        <v>5</v>
      </c>
      <c r="J651" t="s">
        <v>6</v>
      </c>
      <c r="K651">
        <v>10235121</v>
      </c>
      <c r="L651">
        <v>403232</v>
      </c>
      <c r="M651">
        <v>100000</v>
      </c>
      <c r="N651" t="s">
        <v>7</v>
      </c>
      <c r="O651">
        <v>1290549.53</v>
      </c>
      <c r="P651" t="s">
        <v>144</v>
      </c>
      <c r="Q651" t="s">
        <v>8</v>
      </c>
      <c r="R651">
        <v>148525652</v>
      </c>
      <c r="S651">
        <v>148525652</v>
      </c>
      <c r="T651">
        <v>148525652</v>
      </c>
      <c r="U651" t="s">
        <v>145</v>
      </c>
      <c r="V651" t="s">
        <v>9</v>
      </c>
    </row>
    <row r="652" spans="1:22" x14ac:dyDescent="0.25">
      <c r="A652">
        <v>41462839274</v>
      </c>
      <c r="B652" t="s">
        <v>10</v>
      </c>
      <c r="C652" t="s">
        <v>232</v>
      </c>
      <c r="D652">
        <v>41462839274</v>
      </c>
      <c r="E652" s="1">
        <v>46213.784352766204</v>
      </c>
      <c r="F652">
        <v>115</v>
      </c>
      <c r="G652">
        <v>3</v>
      </c>
      <c r="H652" t="s">
        <v>143</v>
      </c>
      <c r="I652" t="s">
        <v>5</v>
      </c>
      <c r="J652" t="s">
        <v>6</v>
      </c>
      <c r="K652">
        <v>10235121</v>
      </c>
      <c r="L652">
        <v>403232</v>
      </c>
      <c r="M652">
        <v>100000</v>
      </c>
      <c r="N652" t="s">
        <v>7</v>
      </c>
      <c r="O652">
        <v>1290549.53</v>
      </c>
      <c r="P652" t="s">
        <v>144</v>
      </c>
      <c r="Q652" t="s">
        <v>8</v>
      </c>
      <c r="R652">
        <v>148525652</v>
      </c>
      <c r="S652">
        <v>148525652</v>
      </c>
      <c r="T652">
        <v>148525652</v>
      </c>
      <c r="U652" t="s">
        <v>145</v>
      </c>
      <c r="V652" t="s">
        <v>9</v>
      </c>
    </row>
    <row r="653" spans="1:22" x14ac:dyDescent="0.25">
      <c r="A653">
        <v>41463745341</v>
      </c>
      <c r="B653" t="s">
        <v>2</v>
      </c>
      <c r="C653" t="s">
        <v>232</v>
      </c>
      <c r="D653">
        <v>41463745341</v>
      </c>
      <c r="E653" s="1">
        <v>46214.552352708335</v>
      </c>
      <c r="F653">
        <v>115</v>
      </c>
      <c r="G653">
        <v>3</v>
      </c>
      <c r="H653" t="s">
        <v>143</v>
      </c>
      <c r="I653" t="s">
        <v>5</v>
      </c>
      <c r="J653" t="s">
        <v>6</v>
      </c>
      <c r="K653">
        <v>10235121</v>
      </c>
      <c r="L653">
        <v>403232</v>
      </c>
      <c r="M653">
        <v>80000</v>
      </c>
      <c r="N653" t="s">
        <v>7</v>
      </c>
      <c r="O653">
        <v>1032439.7</v>
      </c>
      <c r="P653" t="s">
        <v>144</v>
      </c>
      <c r="Q653" t="s">
        <v>8</v>
      </c>
      <c r="R653">
        <v>148525652</v>
      </c>
      <c r="S653">
        <v>148525652</v>
      </c>
      <c r="T653">
        <v>148525652</v>
      </c>
      <c r="U653" t="s">
        <v>145</v>
      </c>
      <c r="V653" t="s">
        <v>9</v>
      </c>
    </row>
    <row r="654" spans="1:22" x14ac:dyDescent="0.25">
      <c r="A654">
        <v>41463610727</v>
      </c>
      <c r="B654" t="s">
        <v>2</v>
      </c>
      <c r="C654" t="s">
        <v>232</v>
      </c>
      <c r="D654">
        <v>41463610727</v>
      </c>
      <c r="E654" s="1">
        <v>46214.50736797454</v>
      </c>
      <c r="F654">
        <v>115</v>
      </c>
      <c r="G654">
        <v>3</v>
      </c>
      <c r="H654" t="s">
        <v>19</v>
      </c>
      <c r="I654" t="s">
        <v>5</v>
      </c>
      <c r="J654" t="s">
        <v>6</v>
      </c>
      <c r="K654">
        <v>51396080</v>
      </c>
      <c r="L654">
        <v>404031</v>
      </c>
      <c r="M654">
        <v>95000</v>
      </c>
      <c r="N654" t="s">
        <v>7</v>
      </c>
      <c r="O654">
        <v>1226022.05</v>
      </c>
      <c r="P654" t="s">
        <v>17</v>
      </c>
      <c r="Q654" t="s">
        <v>8</v>
      </c>
      <c r="R654">
        <v>146573514</v>
      </c>
      <c r="S654">
        <v>146573514</v>
      </c>
      <c r="T654">
        <v>146573514</v>
      </c>
      <c r="U654" t="s">
        <v>18</v>
      </c>
      <c r="V654" t="s">
        <v>15</v>
      </c>
    </row>
    <row r="655" spans="1:22" x14ac:dyDescent="0.25">
      <c r="A655">
        <v>41463606609</v>
      </c>
      <c r="B655" t="s">
        <v>2</v>
      </c>
      <c r="C655" t="s">
        <v>232</v>
      </c>
      <c r="D655">
        <v>41463606609</v>
      </c>
      <c r="E655" s="1">
        <v>46214.506083831016</v>
      </c>
      <c r="F655">
        <v>115</v>
      </c>
      <c r="G655">
        <v>3</v>
      </c>
      <c r="H655" t="s">
        <v>16</v>
      </c>
      <c r="I655" t="s">
        <v>5</v>
      </c>
      <c r="J655" t="s">
        <v>6</v>
      </c>
      <c r="K655">
        <v>57317232</v>
      </c>
      <c r="L655">
        <v>555010</v>
      </c>
      <c r="M655">
        <v>100000</v>
      </c>
      <c r="N655" t="s">
        <v>7</v>
      </c>
      <c r="O655">
        <v>1290549.53</v>
      </c>
      <c r="P655" t="s">
        <v>17</v>
      </c>
      <c r="Q655" t="s">
        <v>8</v>
      </c>
      <c r="R655">
        <v>146573514</v>
      </c>
      <c r="S655">
        <v>146573514</v>
      </c>
      <c r="T655">
        <v>146573514</v>
      </c>
      <c r="U655" t="s">
        <v>18</v>
      </c>
      <c r="V655" t="s">
        <v>15</v>
      </c>
    </row>
    <row r="656" spans="1:22" x14ac:dyDescent="0.25">
      <c r="A656">
        <v>41463253599</v>
      </c>
      <c r="B656" t="s">
        <v>10</v>
      </c>
      <c r="C656" t="s">
        <v>232</v>
      </c>
      <c r="D656">
        <v>41463253599</v>
      </c>
      <c r="E656" s="1">
        <v>46214.292391076386</v>
      </c>
      <c r="F656">
        <v>115</v>
      </c>
      <c r="G656">
        <v>3</v>
      </c>
      <c r="H656" t="s">
        <v>4</v>
      </c>
      <c r="I656" t="s">
        <v>5</v>
      </c>
      <c r="J656" t="s">
        <v>6</v>
      </c>
      <c r="K656">
        <v>70368032</v>
      </c>
      <c r="L656">
        <v>165873</v>
      </c>
      <c r="M656">
        <v>100000</v>
      </c>
      <c r="N656" t="s">
        <v>7</v>
      </c>
      <c r="O656">
        <v>1290549.53</v>
      </c>
      <c r="P656" t="s">
        <v>79</v>
      </c>
      <c r="Q656" t="s">
        <v>8</v>
      </c>
      <c r="R656">
        <v>101421915</v>
      </c>
      <c r="S656">
        <v>101421915</v>
      </c>
      <c r="T656">
        <v>101421915</v>
      </c>
      <c r="U656" t="s">
        <v>80</v>
      </c>
      <c r="V656" t="s">
        <v>9</v>
      </c>
    </row>
    <row r="657" spans="1:22" x14ac:dyDescent="0.25">
      <c r="A657">
        <v>41466468310</v>
      </c>
      <c r="B657" t="s">
        <v>10</v>
      </c>
      <c r="C657" t="s">
        <v>232</v>
      </c>
      <c r="D657">
        <v>41466468310</v>
      </c>
      <c r="E657" s="1">
        <v>46216.561366215275</v>
      </c>
      <c r="F657">
        <v>115</v>
      </c>
      <c r="G657">
        <v>3</v>
      </c>
      <c r="H657" t="s">
        <v>49</v>
      </c>
      <c r="I657" t="s">
        <v>5</v>
      </c>
      <c r="J657" t="s">
        <v>6</v>
      </c>
      <c r="K657">
        <v>58219401</v>
      </c>
      <c r="L657">
        <v>230580</v>
      </c>
      <c r="M657">
        <v>41000</v>
      </c>
      <c r="N657" t="s">
        <v>7</v>
      </c>
      <c r="O657">
        <v>529125.35</v>
      </c>
      <c r="P657" t="s">
        <v>86</v>
      </c>
      <c r="Q657" t="s">
        <v>8</v>
      </c>
      <c r="R657">
        <v>135057461</v>
      </c>
      <c r="S657">
        <v>135057461</v>
      </c>
      <c r="T657">
        <v>135057461</v>
      </c>
      <c r="U657" t="s">
        <v>87</v>
      </c>
      <c r="V657" t="s">
        <v>15</v>
      </c>
    </row>
    <row r="658" spans="1:22" x14ac:dyDescent="0.25">
      <c r="A658">
        <v>41467610090</v>
      </c>
      <c r="B658" t="s">
        <v>10</v>
      </c>
      <c r="C658" t="s">
        <v>232</v>
      </c>
      <c r="D658">
        <v>41467610090</v>
      </c>
      <c r="E658" s="1">
        <v>46217.429068738427</v>
      </c>
      <c r="F658">
        <v>115</v>
      </c>
      <c r="G658">
        <v>3</v>
      </c>
      <c r="H658" t="s">
        <v>218</v>
      </c>
      <c r="I658" t="s">
        <v>5</v>
      </c>
      <c r="J658" t="s">
        <v>6</v>
      </c>
      <c r="K658">
        <v>22050994</v>
      </c>
      <c r="L658">
        <v>401262</v>
      </c>
      <c r="M658">
        <v>10000</v>
      </c>
      <c r="N658" t="s">
        <v>7</v>
      </c>
      <c r="O658">
        <v>129054.96</v>
      </c>
      <c r="P658" t="s">
        <v>219</v>
      </c>
      <c r="Q658" t="s">
        <v>11</v>
      </c>
      <c r="R658">
        <v>109609511</v>
      </c>
      <c r="S658">
        <v>109609511</v>
      </c>
      <c r="T658">
        <v>109609511</v>
      </c>
      <c r="U658" t="s">
        <v>220</v>
      </c>
      <c r="V658" t="s">
        <v>15</v>
      </c>
    </row>
    <row r="659" spans="1:22" x14ac:dyDescent="0.25">
      <c r="A659">
        <v>41474001223</v>
      </c>
      <c r="B659" t="s">
        <v>106</v>
      </c>
      <c r="C659" t="s">
        <v>232</v>
      </c>
      <c r="D659">
        <v>41474001223</v>
      </c>
      <c r="E659" s="1">
        <v>46220.782353946757</v>
      </c>
      <c r="F659">
        <v>69</v>
      </c>
      <c r="G659">
        <v>3</v>
      </c>
      <c r="H659" t="s">
        <v>91</v>
      </c>
      <c r="I659" t="s">
        <v>5</v>
      </c>
      <c r="J659" t="s">
        <v>6</v>
      </c>
      <c r="K659">
        <v>10030747</v>
      </c>
      <c r="L659">
        <v>161923</v>
      </c>
      <c r="M659">
        <v>250000</v>
      </c>
      <c r="N659" t="s">
        <v>7</v>
      </c>
      <c r="O659">
        <v>3226373.98</v>
      </c>
      <c r="P659" t="s">
        <v>146</v>
      </c>
      <c r="Q659" t="s">
        <v>8</v>
      </c>
      <c r="R659">
        <v>107560732</v>
      </c>
      <c r="S659">
        <v>107560732</v>
      </c>
      <c r="T659">
        <v>107560732</v>
      </c>
      <c r="U659" t="s">
        <v>93</v>
      </c>
      <c r="V659" t="s">
        <v>9</v>
      </c>
    </row>
    <row r="660" spans="1:22" x14ac:dyDescent="0.25">
      <c r="A660">
        <v>41480028554</v>
      </c>
      <c r="B660" t="s">
        <v>10</v>
      </c>
      <c r="C660" t="s">
        <v>232</v>
      </c>
      <c r="D660">
        <v>41480028554</v>
      </c>
      <c r="E660" s="1">
        <v>46224.750596863429</v>
      </c>
      <c r="F660">
        <v>115</v>
      </c>
      <c r="G660">
        <v>3</v>
      </c>
      <c r="H660" t="s">
        <v>4</v>
      </c>
      <c r="I660" t="s">
        <v>5</v>
      </c>
      <c r="J660" t="s">
        <v>6</v>
      </c>
      <c r="K660">
        <v>58200138</v>
      </c>
      <c r="L660">
        <v>608407</v>
      </c>
      <c r="M660">
        <v>50000</v>
      </c>
      <c r="N660" t="s">
        <v>7</v>
      </c>
      <c r="O660">
        <v>649241.99</v>
      </c>
      <c r="P660" t="s">
        <v>100</v>
      </c>
      <c r="Q660" t="s">
        <v>8</v>
      </c>
      <c r="R660">
        <v>105353056</v>
      </c>
      <c r="S660">
        <v>105353056</v>
      </c>
      <c r="T660">
        <v>105353056</v>
      </c>
      <c r="U660" t="s">
        <v>101</v>
      </c>
      <c r="V660" t="s">
        <v>9</v>
      </c>
    </row>
    <row r="661" spans="1:22" x14ac:dyDescent="0.25">
      <c r="A661">
        <v>41479581129</v>
      </c>
      <c r="B661" t="s">
        <v>10</v>
      </c>
      <c r="C661" t="s">
        <v>232</v>
      </c>
      <c r="D661">
        <v>41479581129</v>
      </c>
      <c r="E661" s="1">
        <v>46224.589946030093</v>
      </c>
      <c r="F661">
        <v>69</v>
      </c>
      <c r="G661">
        <v>3</v>
      </c>
      <c r="H661" t="s">
        <v>4</v>
      </c>
      <c r="I661" t="s">
        <v>5</v>
      </c>
      <c r="J661" t="s">
        <v>6</v>
      </c>
      <c r="K661">
        <v>31682626</v>
      </c>
      <c r="L661">
        <v>40075</v>
      </c>
      <c r="M661">
        <v>1280000</v>
      </c>
      <c r="N661" t="s">
        <v>7</v>
      </c>
      <c r="O661">
        <v>16620595.1</v>
      </c>
      <c r="P661" t="s">
        <v>127</v>
      </c>
      <c r="Q661" t="s">
        <v>8</v>
      </c>
      <c r="R661">
        <v>113290936</v>
      </c>
      <c r="S661">
        <v>113290936</v>
      </c>
      <c r="T661">
        <v>113290936</v>
      </c>
      <c r="U661" t="s">
        <v>41</v>
      </c>
      <c r="V661" t="s">
        <v>9</v>
      </c>
    </row>
    <row r="662" spans="1:22" x14ac:dyDescent="0.25">
      <c r="A662">
        <v>41483437207</v>
      </c>
      <c r="B662" t="s">
        <v>10</v>
      </c>
      <c r="C662" t="s">
        <v>232</v>
      </c>
      <c r="D662">
        <v>41483437207</v>
      </c>
      <c r="E662" s="1">
        <v>46226.782014652781</v>
      </c>
      <c r="F662">
        <v>115</v>
      </c>
      <c r="G662">
        <v>3</v>
      </c>
      <c r="H662" t="s">
        <v>4</v>
      </c>
      <c r="I662" t="s">
        <v>5</v>
      </c>
      <c r="J662" t="s">
        <v>6</v>
      </c>
      <c r="K662">
        <v>54088624</v>
      </c>
      <c r="L662">
        <v>90643</v>
      </c>
      <c r="M662">
        <v>75000</v>
      </c>
      <c r="N662" t="s">
        <v>7</v>
      </c>
      <c r="O662">
        <v>973862.99</v>
      </c>
      <c r="P662" t="s">
        <v>281</v>
      </c>
      <c r="Q662" t="s">
        <v>8</v>
      </c>
      <c r="R662">
        <v>108965344</v>
      </c>
      <c r="S662">
        <v>108965344</v>
      </c>
      <c r="T662">
        <v>108965344</v>
      </c>
      <c r="U662" t="s">
        <v>282</v>
      </c>
      <c r="V662" t="s">
        <v>9</v>
      </c>
    </row>
    <row r="663" spans="1:22" x14ac:dyDescent="0.25">
      <c r="A663">
        <v>41483254891</v>
      </c>
      <c r="B663" t="s">
        <v>10</v>
      </c>
      <c r="C663" t="s">
        <v>232</v>
      </c>
      <c r="D663">
        <v>41483254891</v>
      </c>
      <c r="E663" s="1">
        <v>46226.731042407409</v>
      </c>
      <c r="F663">
        <v>115</v>
      </c>
      <c r="G663">
        <v>3</v>
      </c>
      <c r="H663" t="s">
        <v>4</v>
      </c>
      <c r="I663" t="s">
        <v>5</v>
      </c>
      <c r="J663" t="s">
        <v>6</v>
      </c>
      <c r="K663">
        <v>73114139</v>
      </c>
      <c r="L663">
        <v>406437</v>
      </c>
      <c r="M663">
        <v>100000</v>
      </c>
      <c r="N663" t="s">
        <v>7</v>
      </c>
      <c r="O663">
        <v>1298483.98</v>
      </c>
      <c r="P663" t="s">
        <v>36</v>
      </c>
      <c r="Q663" t="s">
        <v>8</v>
      </c>
      <c r="R663">
        <v>119228773</v>
      </c>
      <c r="S663">
        <v>119228773</v>
      </c>
      <c r="T663">
        <v>119228773</v>
      </c>
      <c r="U663" t="s">
        <v>37</v>
      </c>
      <c r="V663" t="s">
        <v>15</v>
      </c>
    </row>
    <row r="664" spans="1:22" x14ac:dyDescent="0.25">
      <c r="A664">
        <v>41483063386</v>
      </c>
      <c r="B664" t="s">
        <v>2</v>
      </c>
      <c r="C664" t="s">
        <v>232</v>
      </c>
      <c r="D664">
        <v>41483063386</v>
      </c>
      <c r="E664" s="1">
        <v>46226.662101180555</v>
      </c>
      <c r="F664">
        <v>115</v>
      </c>
      <c r="G664">
        <v>3</v>
      </c>
      <c r="H664" t="s">
        <v>4</v>
      </c>
      <c r="I664" t="s">
        <v>5</v>
      </c>
      <c r="J664" t="s">
        <v>6</v>
      </c>
      <c r="K664">
        <v>83372888</v>
      </c>
      <c r="L664">
        <v>608407</v>
      </c>
      <c r="M664">
        <v>80000</v>
      </c>
      <c r="N664" t="s">
        <v>7</v>
      </c>
      <c r="O664">
        <v>1038787.21</v>
      </c>
      <c r="P664" t="s">
        <v>38</v>
      </c>
      <c r="Q664" t="s">
        <v>8</v>
      </c>
      <c r="R664">
        <v>122720485</v>
      </c>
      <c r="S664">
        <v>122720485</v>
      </c>
      <c r="T664">
        <v>122720485</v>
      </c>
      <c r="U664" t="s">
        <v>39</v>
      </c>
      <c r="V664" t="s">
        <v>9</v>
      </c>
    </row>
    <row r="665" spans="1:22" x14ac:dyDescent="0.25">
      <c r="A665">
        <v>41486224304</v>
      </c>
      <c r="B665" t="s">
        <v>2</v>
      </c>
      <c r="C665" t="s">
        <v>232</v>
      </c>
      <c r="D665">
        <v>41486224304</v>
      </c>
      <c r="E665" s="1">
        <v>46227.857881863427</v>
      </c>
      <c r="F665">
        <v>115</v>
      </c>
      <c r="G665">
        <v>3</v>
      </c>
      <c r="H665" t="s">
        <v>4</v>
      </c>
      <c r="I665" t="s">
        <v>5</v>
      </c>
      <c r="J665" t="s">
        <v>6</v>
      </c>
      <c r="K665">
        <v>26180505</v>
      </c>
      <c r="L665">
        <v>608407</v>
      </c>
      <c r="M665">
        <v>100000</v>
      </c>
      <c r="N665" t="s">
        <v>7</v>
      </c>
      <c r="O665">
        <v>1298483.98</v>
      </c>
      <c r="P665" t="s">
        <v>265</v>
      </c>
      <c r="Q665" t="s">
        <v>8</v>
      </c>
      <c r="R665">
        <v>126118058</v>
      </c>
      <c r="S665">
        <v>126118058</v>
      </c>
      <c r="T665">
        <v>126118058</v>
      </c>
      <c r="U665" t="s">
        <v>264</v>
      </c>
      <c r="V665" t="s">
        <v>15</v>
      </c>
    </row>
    <row r="666" spans="1:22" x14ac:dyDescent="0.25">
      <c r="A666">
        <v>41486216916</v>
      </c>
      <c r="B666" t="s">
        <v>2</v>
      </c>
      <c r="C666" t="s">
        <v>232</v>
      </c>
      <c r="D666">
        <v>41486216916</v>
      </c>
      <c r="E666" s="1">
        <v>46227.854579432867</v>
      </c>
      <c r="F666">
        <v>115</v>
      </c>
      <c r="G666">
        <v>3</v>
      </c>
      <c r="H666" t="s">
        <v>4</v>
      </c>
      <c r="I666" t="s">
        <v>5</v>
      </c>
      <c r="J666" t="s">
        <v>6</v>
      </c>
      <c r="K666">
        <v>26180505</v>
      </c>
      <c r="L666">
        <v>608407</v>
      </c>
      <c r="M666">
        <v>100000</v>
      </c>
      <c r="N666" t="s">
        <v>7</v>
      </c>
      <c r="O666">
        <v>1298483.98</v>
      </c>
      <c r="P666" t="s">
        <v>216</v>
      </c>
      <c r="Q666" t="s">
        <v>8</v>
      </c>
      <c r="R666">
        <v>126118058</v>
      </c>
      <c r="S666">
        <v>126118058</v>
      </c>
      <c r="T666">
        <v>126118058</v>
      </c>
      <c r="U666" t="s">
        <v>264</v>
      </c>
      <c r="V666" t="s">
        <v>15</v>
      </c>
    </row>
    <row r="667" spans="1:22" x14ac:dyDescent="0.25">
      <c r="A667">
        <v>41486213067</v>
      </c>
      <c r="B667" t="s">
        <v>2</v>
      </c>
      <c r="C667" t="s">
        <v>232</v>
      </c>
      <c r="D667">
        <v>41486213067</v>
      </c>
      <c r="E667" s="1">
        <v>46227.852821099536</v>
      </c>
      <c r="F667">
        <v>115</v>
      </c>
      <c r="G667">
        <v>3</v>
      </c>
      <c r="H667" t="s">
        <v>4</v>
      </c>
      <c r="I667" t="s">
        <v>5</v>
      </c>
      <c r="J667" t="s">
        <v>6</v>
      </c>
      <c r="K667">
        <v>26180505</v>
      </c>
      <c r="L667">
        <v>608407</v>
      </c>
      <c r="M667">
        <v>100000</v>
      </c>
      <c r="N667" t="s">
        <v>7</v>
      </c>
      <c r="O667">
        <v>1298483.98</v>
      </c>
      <c r="P667" t="s">
        <v>216</v>
      </c>
      <c r="Q667" t="s">
        <v>8</v>
      </c>
      <c r="R667">
        <v>126118058</v>
      </c>
      <c r="S667">
        <v>126118058</v>
      </c>
      <c r="T667">
        <v>126118058</v>
      </c>
      <c r="U667" t="s">
        <v>264</v>
      </c>
      <c r="V667" t="s">
        <v>15</v>
      </c>
    </row>
    <row r="668" spans="1:22" x14ac:dyDescent="0.25">
      <c r="A668">
        <v>41486220957</v>
      </c>
      <c r="B668" t="s">
        <v>2</v>
      </c>
      <c r="C668" t="s">
        <v>232</v>
      </c>
      <c r="D668">
        <v>41486220957</v>
      </c>
      <c r="E668" s="1">
        <v>46227.856335497687</v>
      </c>
      <c r="F668">
        <v>115</v>
      </c>
      <c r="G668">
        <v>3</v>
      </c>
      <c r="H668" t="s">
        <v>4</v>
      </c>
      <c r="I668" t="s">
        <v>5</v>
      </c>
      <c r="J668" t="s">
        <v>6</v>
      </c>
      <c r="K668">
        <v>26180505</v>
      </c>
      <c r="L668">
        <v>608407</v>
      </c>
      <c r="M668">
        <v>100000</v>
      </c>
      <c r="N668" t="s">
        <v>7</v>
      </c>
      <c r="O668">
        <v>1298483.98</v>
      </c>
      <c r="P668" t="s">
        <v>265</v>
      </c>
      <c r="Q668" t="s">
        <v>8</v>
      </c>
      <c r="R668">
        <v>126118058</v>
      </c>
      <c r="S668">
        <v>126118058</v>
      </c>
      <c r="T668">
        <v>126118058</v>
      </c>
      <c r="U668" t="s">
        <v>264</v>
      </c>
      <c r="V668" t="s">
        <v>15</v>
      </c>
    </row>
    <row r="669" spans="1:22" x14ac:dyDescent="0.25">
      <c r="A669">
        <v>41485691443</v>
      </c>
      <c r="B669" t="s">
        <v>10</v>
      </c>
      <c r="C669" t="s">
        <v>232</v>
      </c>
      <c r="D669">
        <v>41485691443</v>
      </c>
      <c r="E669" s="1">
        <v>46227.673347314812</v>
      </c>
      <c r="F669">
        <v>115</v>
      </c>
      <c r="G669">
        <v>3</v>
      </c>
      <c r="H669" t="s">
        <v>4</v>
      </c>
      <c r="I669" t="s">
        <v>5</v>
      </c>
      <c r="J669" t="s">
        <v>6</v>
      </c>
      <c r="K669">
        <v>81635056</v>
      </c>
      <c r="L669">
        <v>406437</v>
      </c>
      <c r="M669">
        <v>50000</v>
      </c>
      <c r="N669" t="s">
        <v>7</v>
      </c>
      <c r="O669">
        <v>649241.99</v>
      </c>
      <c r="P669" t="s">
        <v>351</v>
      </c>
      <c r="Q669" t="s">
        <v>8</v>
      </c>
      <c r="R669">
        <v>121862155</v>
      </c>
      <c r="S669">
        <v>121862155</v>
      </c>
      <c r="T669">
        <v>121862155</v>
      </c>
      <c r="U669" t="s">
        <v>352</v>
      </c>
      <c r="V669" t="s">
        <v>9</v>
      </c>
    </row>
    <row r="670" spans="1:22" x14ac:dyDescent="0.25">
      <c r="A670">
        <v>41488362553</v>
      </c>
      <c r="B670" t="s">
        <v>10</v>
      </c>
      <c r="C670" t="s">
        <v>232</v>
      </c>
      <c r="D670">
        <v>41488362553</v>
      </c>
      <c r="E670" s="1">
        <v>46229.419012523147</v>
      </c>
      <c r="F670">
        <v>115</v>
      </c>
      <c r="G670">
        <v>3</v>
      </c>
      <c r="H670" t="s">
        <v>4</v>
      </c>
      <c r="I670" t="s">
        <v>5</v>
      </c>
      <c r="J670" t="s">
        <v>6</v>
      </c>
      <c r="K670">
        <v>12647717</v>
      </c>
      <c r="L670">
        <v>608407</v>
      </c>
      <c r="M670">
        <v>75000</v>
      </c>
      <c r="N670" t="s">
        <v>7</v>
      </c>
      <c r="O670">
        <v>973862.99</v>
      </c>
      <c r="P670" t="s">
        <v>353</v>
      </c>
      <c r="Q670" t="s">
        <v>8</v>
      </c>
      <c r="R670">
        <v>116134032</v>
      </c>
      <c r="S670">
        <v>116134032</v>
      </c>
      <c r="T670">
        <v>116134032</v>
      </c>
      <c r="U670" t="s">
        <v>354</v>
      </c>
      <c r="V670" t="s">
        <v>15</v>
      </c>
    </row>
    <row r="671" spans="1:22" x14ac:dyDescent="0.25">
      <c r="A671">
        <v>41492391683</v>
      </c>
      <c r="B671" t="s">
        <v>10</v>
      </c>
      <c r="C671" t="s">
        <v>232</v>
      </c>
      <c r="D671">
        <v>41492391683</v>
      </c>
      <c r="E671" s="1">
        <v>46231.455869675927</v>
      </c>
      <c r="F671">
        <v>115</v>
      </c>
      <c r="G671">
        <v>3</v>
      </c>
      <c r="H671" t="s">
        <v>4</v>
      </c>
      <c r="I671" t="s">
        <v>5</v>
      </c>
      <c r="J671" t="s">
        <v>6</v>
      </c>
      <c r="K671">
        <v>43255473</v>
      </c>
      <c r="L671">
        <v>608407</v>
      </c>
      <c r="M671">
        <v>25000</v>
      </c>
      <c r="N671" t="s">
        <v>7</v>
      </c>
      <c r="O671">
        <v>324621</v>
      </c>
      <c r="P671" t="s">
        <v>323</v>
      </c>
      <c r="Q671" t="s">
        <v>8</v>
      </c>
      <c r="R671">
        <v>115377780</v>
      </c>
      <c r="S671">
        <v>115377780</v>
      </c>
      <c r="T671">
        <v>115377780</v>
      </c>
      <c r="U671" t="s">
        <v>324</v>
      </c>
      <c r="V671" t="s">
        <v>15</v>
      </c>
    </row>
    <row r="672" spans="1:22" x14ac:dyDescent="0.25">
      <c r="A672">
        <v>41494751270</v>
      </c>
      <c r="B672" t="s">
        <v>10</v>
      </c>
      <c r="C672" t="s">
        <v>232</v>
      </c>
      <c r="D672">
        <v>41494751270</v>
      </c>
      <c r="E672" s="1">
        <v>46232.584292164349</v>
      </c>
      <c r="F672">
        <v>115</v>
      </c>
      <c r="G672">
        <v>3</v>
      </c>
      <c r="H672" t="s">
        <v>4</v>
      </c>
      <c r="I672" t="s">
        <v>5</v>
      </c>
      <c r="J672" t="s">
        <v>6</v>
      </c>
      <c r="K672">
        <v>89260625</v>
      </c>
      <c r="L672">
        <v>230120</v>
      </c>
      <c r="M672">
        <v>75000</v>
      </c>
      <c r="N672" t="s">
        <v>7</v>
      </c>
      <c r="O672">
        <v>973862.99</v>
      </c>
      <c r="P672" t="s">
        <v>270</v>
      </c>
      <c r="Q672" t="s">
        <v>8</v>
      </c>
      <c r="R672">
        <v>110818184</v>
      </c>
      <c r="S672">
        <v>110818184</v>
      </c>
      <c r="T672">
        <v>110818184</v>
      </c>
      <c r="U672" t="s">
        <v>271</v>
      </c>
      <c r="V672" t="s">
        <v>15</v>
      </c>
    </row>
    <row r="673" spans="1:22" x14ac:dyDescent="0.25">
      <c r="A673">
        <v>41497065241</v>
      </c>
      <c r="B673" t="s">
        <v>10</v>
      </c>
      <c r="C673" t="s">
        <v>232</v>
      </c>
      <c r="D673">
        <v>41497065241</v>
      </c>
      <c r="E673" s="1">
        <v>46233.851045023148</v>
      </c>
      <c r="F673">
        <v>115</v>
      </c>
      <c r="G673">
        <v>3</v>
      </c>
      <c r="H673" t="s">
        <v>4</v>
      </c>
      <c r="I673" t="s">
        <v>5</v>
      </c>
      <c r="J673" t="s">
        <v>6</v>
      </c>
      <c r="K673">
        <v>73002616</v>
      </c>
      <c r="L673">
        <v>206155</v>
      </c>
      <c r="M673">
        <v>14644.06</v>
      </c>
      <c r="N673" t="s">
        <v>7</v>
      </c>
      <c r="O673">
        <v>190150.8</v>
      </c>
      <c r="P673" t="s">
        <v>266</v>
      </c>
      <c r="Q673" t="s">
        <v>8</v>
      </c>
      <c r="R673">
        <v>147888564</v>
      </c>
      <c r="S673">
        <v>125780189</v>
      </c>
      <c r="T673">
        <v>147888564</v>
      </c>
      <c r="U673" t="s">
        <v>267</v>
      </c>
      <c r="V673" t="s">
        <v>15</v>
      </c>
    </row>
    <row r="674" spans="1:22" x14ac:dyDescent="0.25">
      <c r="A674">
        <v>41499919515</v>
      </c>
      <c r="B674" t="s">
        <v>2</v>
      </c>
      <c r="C674" t="s">
        <v>232</v>
      </c>
      <c r="D674">
        <v>41499919515</v>
      </c>
      <c r="E674" s="1">
        <v>46235.700332476852</v>
      </c>
      <c r="F674">
        <v>115</v>
      </c>
      <c r="G674">
        <v>3</v>
      </c>
      <c r="H674" t="s">
        <v>4</v>
      </c>
      <c r="I674" t="s">
        <v>5</v>
      </c>
      <c r="J674" t="s">
        <v>6</v>
      </c>
      <c r="K674">
        <v>38307720</v>
      </c>
      <c r="L674">
        <v>90130</v>
      </c>
      <c r="M674">
        <v>40240.32</v>
      </c>
      <c r="N674" t="s">
        <v>7</v>
      </c>
      <c r="O674">
        <v>522514.15</v>
      </c>
      <c r="P674" t="s">
        <v>302</v>
      </c>
      <c r="Q674" t="s">
        <v>8</v>
      </c>
      <c r="R674">
        <v>119007375</v>
      </c>
      <c r="S674">
        <v>119007375</v>
      </c>
      <c r="T674">
        <v>119007375</v>
      </c>
      <c r="U674" t="s">
        <v>303</v>
      </c>
      <c r="V674" t="s">
        <v>15</v>
      </c>
    </row>
    <row r="675" spans="1:22" x14ac:dyDescent="0.25">
      <c r="A675">
        <v>41499878714</v>
      </c>
      <c r="B675" t="s">
        <v>10</v>
      </c>
      <c r="C675" t="s">
        <v>232</v>
      </c>
      <c r="D675">
        <v>41499878714</v>
      </c>
      <c r="E675" s="1">
        <v>46235.681359004629</v>
      </c>
      <c r="F675">
        <v>115</v>
      </c>
      <c r="G675">
        <v>3</v>
      </c>
      <c r="H675" t="s">
        <v>4</v>
      </c>
      <c r="I675" t="s">
        <v>5</v>
      </c>
      <c r="J675" t="s">
        <v>6</v>
      </c>
      <c r="K675">
        <v>10475655</v>
      </c>
      <c r="L675">
        <v>40831</v>
      </c>
      <c r="M675">
        <v>50000</v>
      </c>
      <c r="N675" t="s">
        <v>7</v>
      </c>
      <c r="O675">
        <v>649241.99</v>
      </c>
      <c r="P675" t="s">
        <v>300</v>
      </c>
      <c r="Q675" t="s">
        <v>8</v>
      </c>
      <c r="R675">
        <v>105779995</v>
      </c>
      <c r="S675">
        <v>105779995</v>
      </c>
      <c r="T675">
        <v>105779995</v>
      </c>
      <c r="U675" t="s">
        <v>301</v>
      </c>
      <c r="V675" t="s">
        <v>9</v>
      </c>
    </row>
    <row r="676" spans="1:22" x14ac:dyDescent="0.25">
      <c r="A676">
        <v>41502365582</v>
      </c>
      <c r="B676" t="s">
        <v>10</v>
      </c>
      <c r="C676" t="s">
        <v>232</v>
      </c>
      <c r="D676">
        <v>41502365582</v>
      </c>
      <c r="E676" s="1">
        <v>46237.546154699077</v>
      </c>
      <c r="F676">
        <v>115</v>
      </c>
      <c r="G676">
        <v>3</v>
      </c>
      <c r="H676" t="s">
        <v>4</v>
      </c>
      <c r="I676" t="s">
        <v>5</v>
      </c>
      <c r="J676" t="s">
        <v>6</v>
      </c>
      <c r="K676">
        <v>3649830</v>
      </c>
      <c r="L676">
        <v>203775</v>
      </c>
      <c r="M676">
        <v>100000</v>
      </c>
      <c r="N676" t="s">
        <v>7</v>
      </c>
      <c r="O676">
        <v>1298483.98</v>
      </c>
      <c r="P676" t="s">
        <v>330</v>
      </c>
      <c r="Q676" t="s">
        <v>8</v>
      </c>
      <c r="R676">
        <v>124780263</v>
      </c>
      <c r="S676">
        <v>124780263</v>
      </c>
      <c r="T676">
        <v>124780263</v>
      </c>
      <c r="U676" t="s">
        <v>331</v>
      </c>
      <c r="V676" t="s">
        <v>15</v>
      </c>
    </row>
    <row r="677" spans="1:22" x14ac:dyDescent="0.25">
      <c r="A677">
        <v>41504240618</v>
      </c>
      <c r="B677" t="s">
        <v>10</v>
      </c>
      <c r="C677" t="s">
        <v>232</v>
      </c>
      <c r="D677">
        <v>41504240618</v>
      </c>
      <c r="E677" s="1">
        <v>46238.64076490741</v>
      </c>
      <c r="F677">
        <v>115</v>
      </c>
      <c r="G677">
        <v>3</v>
      </c>
      <c r="H677" t="s">
        <v>49</v>
      </c>
      <c r="I677" t="s">
        <v>5</v>
      </c>
      <c r="J677" t="s">
        <v>6</v>
      </c>
      <c r="K677">
        <v>43082167</v>
      </c>
      <c r="L677">
        <v>230580</v>
      </c>
      <c r="M677">
        <v>100000</v>
      </c>
      <c r="N677" t="s">
        <v>7</v>
      </c>
      <c r="O677">
        <v>1298483.98</v>
      </c>
      <c r="P677" t="s">
        <v>308</v>
      </c>
      <c r="Q677" t="s">
        <v>8</v>
      </c>
      <c r="R677">
        <v>130575269</v>
      </c>
      <c r="S677">
        <v>130575269</v>
      </c>
      <c r="T677">
        <v>130575269</v>
      </c>
      <c r="U677" t="s">
        <v>309</v>
      </c>
      <c r="V677" t="s">
        <v>9</v>
      </c>
    </row>
    <row r="678" spans="1:22" x14ac:dyDescent="0.25">
      <c r="A678">
        <v>41506175931</v>
      </c>
      <c r="B678" t="s">
        <v>10</v>
      </c>
      <c r="C678" t="s">
        <v>232</v>
      </c>
      <c r="D678">
        <v>41506175931</v>
      </c>
      <c r="E678" s="1">
        <v>46239.801748020836</v>
      </c>
      <c r="F678">
        <v>115</v>
      </c>
      <c r="G678">
        <v>3</v>
      </c>
      <c r="H678" t="s">
        <v>311</v>
      </c>
      <c r="I678" t="s">
        <v>5</v>
      </c>
      <c r="J678" t="s">
        <v>6</v>
      </c>
      <c r="K678">
        <v>80166232</v>
      </c>
      <c r="L678">
        <v>159900</v>
      </c>
      <c r="M678">
        <v>100000</v>
      </c>
      <c r="N678" t="s">
        <v>7</v>
      </c>
      <c r="O678">
        <v>1298483.98</v>
      </c>
      <c r="P678" t="s">
        <v>45</v>
      </c>
      <c r="Q678" t="s">
        <v>8</v>
      </c>
      <c r="R678">
        <v>107953069</v>
      </c>
      <c r="S678">
        <v>107953069</v>
      </c>
      <c r="T678">
        <v>107953069</v>
      </c>
      <c r="U678" t="s">
        <v>312</v>
      </c>
      <c r="V678" t="s">
        <v>15</v>
      </c>
    </row>
    <row r="679" spans="1:22" x14ac:dyDescent="0.25">
      <c r="A679">
        <v>41506176989</v>
      </c>
      <c r="B679" t="s">
        <v>10</v>
      </c>
      <c r="C679" t="s">
        <v>232</v>
      </c>
      <c r="D679">
        <v>41506176989</v>
      </c>
      <c r="E679" s="1">
        <v>46239.802213900461</v>
      </c>
      <c r="F679">
        <v>115</v>
      </c>
      <c r="G679">
        <v>3</v>
      </c>
      <c r="H679" t="s">
        <v>311</v>
      </c>
      <c r="I679" t="s">
        <v>5</v>
      </c>
      <c r="J679" t="s">
        <v>6</v>
      </c>
      <c r="K679">
        <v>80166232</v>
      </c>
      <c r="L679">
        <v>159900</v>
      </c>
      <c r="M679">
        <v>100000</v>
      </c>
      <c r="N679" t="s">
        <v>7</v>
      </c>
      <c r="O679">
        <v>1298483.98</v>
      </c>
      <c r="P679" t="s">
        <v>45</v>
      </c>
      <c r="Q679" t="s">
        <v>8</v>
      </c>
      <c r="R679">
        <v>107953069</v>
      </c>
      <c r="S679">
        <v>107953069</v>
      </c>
      <c r="T679">
        <v>107953069</v>
      </c>
      <c r="U679" t="s">
        <v>312</v>
      </c>
      <c r="V679" t="s">
        <v>15</v>
      </c>
    </row>
    <row r="680" spans="1:22" x14ac:dyDescent="0.25">
      <c r="A680">
        <v>41505232361</v>
      </c>
      <c r="B680" t="s">
        <v>10</v>
      </c>
      <c r="C680" t="s">
        <v>232</v>
      </c>
      <c r="D680">
        <v>41505232361</v>
      </c>
      <c r="E680" s="1">
        <v>46239.444123564812</v>
      </c>
      <c r="F680">
        <v>69</v>
      </c>
      <c r="G680">
        <v>3</v>
      </c>
      <c r="H680" t="s">
        <v>344</v>
      </c>
      <c r="I680" t="s">
        <v>5</v>
      </c>
      <c r="J680" t="s">
        <v>6</v>
      </c>
      <c r="K680">
        <v>67752705</v>
      </c>
      <c r="L680">
        <v>536123</v>
      </c>
      <c r="M680">
        <v>125000</v>
      </c>
      <c r="N680" t="s">
        <v>7</v>
      </c>
      <c r="O680">
        <v>1623104.98</v>
      </c>
      <c r="P680" t="s">
        <v>345</v>
      </c>
      <c r="Q680" t="s">
        <v>8</v>
      </c>
      <c r="R680">
        <v>115992786</v>
      </c>
      <c r="S680">
        <v>115992786</v>
      </c>
      <c r="T680">
        <v>115992786</v>
      </c>
      <c r="U680" t="s">
        <v>346</v>
      </c>
      <c r="V680" t="s">
        <v>9</v>
      </c>
    </row>
    <row r="681" spans="1:22" x14ac:dyDescent="0.25">
      <c r="A681">
        <v>41507370412</v>
      </c>
      <c r="B681" t="s">
        <v>10</v>
      </c>
      <c r="C681" t="s">
        <v>232</v>
      </c>
      <c r="D681">
        <v>41507370412</v>
      </c>
      <c r="E681" s="1">
        <v>46240.658783715277</v>
      </c>
      <c r="F681">
        <v>69</v>
      </c>
      <c r="G681">
        <v>3</v>
      </c>
      <c r="H681" t="s">
        <v>336</v>
      </c>
      <c r="I681" t="s">
        <v>5</v>
      </c>
      <c r="J681" t="s">
        <v>6</v>
      </c>
      <c r="K681">
        <v>94457662</v>
      </c>
      <c r="L681">
        <v>10541</v>
      </c>
      <c r="M681">
        <v>131250</v>
      </c>
      <c r="N681" t="s">
        <v>7</v>
      </c>
      <c r="O681">
        <v>1704260.23</v>
      </c>
      <c r="P681" t="s">
        <v>337</v>
      </c>
      <c r="Q681" t="s">
        <v>8</v>
      </c>
      <c r="R681">
        <v>103220075</v>
      </c>
      <c r="S681">
        <v>103220075</v>
      </c>
      <c r="T681">
        <v>103220075</v>
      </c>
      <c r="U681" t="s">
        <v>338</v>
      </c>
      <c r="V681" t="s">
        <v>9</v>
      </c>
    </row>
    <row r="682" spans="1:22" x14ac:dyDescent="0.25">
      <c r="A682">
        <v>41509375121</v>
      </c>
      <c r="B682" t="s">
        <v>2</v>
      </c>
      <c r="C682" t="s">
        <v>232</v>
      </c>
      <c r="D682">
        <v>41509375121</v>
      </c>
      <c r="E682" s="1">
        <v>46241.82651215278</v>
      </c>
      <c r="F682">
        <v>115</v>
      </c>
      <c r="G682">
        <v>3</v>
      </c>
      <c r="H682" t="s">
        <v>4</v>
      </c>
      <c r="I682" t="s">
        <v>5</v>
      </c>
      <c r="J682" t="s">
        <v>6</v>
      </c>
      <c r="K682">
        <v>93108627</v>
      </c>
      <c r="L682">
        <v>206518</v>
      </c>
      <c r="M682">
        <v>30000</v>
      </c>
      <c r="N682" t="s">
        <v>7</v>
      </c>
      <c r="O682">
        <v>389545.21</v>
      </c>
      <c r="P682" t="s">
        <v>339</v>
      </c>
      <c r="Q682" t="s">
        <v>8</v>
      </c>
      <c r="R682">
        <v>110890316</v>
      </c>
      <c r="S682">
        <v>110890316</v>
      </c>
      <c r="T682">
        <v>110890316</v>
      </c>
      <c r="U682" t="s">
        <v>340</v>
      </c>
      <c r="V682" t="s">
        <v>9</v>
      </c>
    </row>
    <row r="683" spans="1:22" x14ac:dyDescent="0.25">
      <c r="A683">
        <v>41448593472</v>
      </c>
      <c r="B683" t="s">
        <v>2</v>
      </c>
      <c r="C683" t="s">
        <v>233</v>
      </c>
      <c r="D683">
        <v>41448593472</v>
      </c>
      <c r="E683" s="1">
        <v>46205.373878738428</v>
      </c>
      <c r="F683">
        <v>115</v>
      </c>
      <c r="G683">
        <v>3</v>
      </c>
      <c r="H683" t="s">
        <v>4</v>
      </c>
      <c r="I683" t="s">
        <v>5</v>
      </c>
      <c r="J683" t="s">
        <v>6</v>
      </c>
      <c r="K683">
        <v>9204083</v>
      </c>
      <c r="L683">
        <v>40075</v>
      </c>
      <c r="M683">
        <v>50000</v>
      </c>
      <c r="N683" t="s">
        <v>7</v>
      </c>
      <c r="O683">
        <v>645274.81999999995</v>
      </c>
      <c r="P683" t="s">
        <v>53</v>
      </c>
      <c r="Q683" t="s">
        <v>8</v>
      </c>
      <c r="R683">
        <v>142592674</v>
      </c>
      <c r="S683">
        <v>142592674</v>
      </c>
      <c r="T683">
        <v>142592674</v>
      </c>
      <c r="U683" t="s">
        <v>54</v>
      </c>
      <c r="V683" t="s">
        <v>15</v>
      </c>
    </row>
    <row r="684" spans="1:22" x14ac:dyDescent="0.25">
      <c r="A684">
        <v>41451349515</v>
      </c>
      <c r="B684" t="s">
        <v>2</v>
      </c>
      <c r="C684" t="s">
        <v>233</v>
      </c>
      <c r="D684">
        <v>41451349515</v>
      </c>
      <c r="E684" s="1">
        <v>46206.681241840277</v>
      </c>
      <c r="F684">
        <v>115</v>
      </c>
      <c r="G684">
        <v>3</v>
      </c>
      <c r="H684" t="s">
        <v>4</v>
      </c>
      <c r="I684" t="s">
        <v>5</v>
      </c>
      <c r="J684" t="s">
        <v>6</v>
      </c>
      <c r="K684">
        <v>16281625</v>
      </c>
      <c r="L684">
        <v>608407</v>
      </c>
      <c r="M684">
        <v>50000</v>
      </c>
      <c r="N684" t="s">
        <v>7</v>
      </c>
      <c r="O684">
        <v>645274.81999999995</v>
      </c>
      <c r="P684" t="s">
        <v>61</v>
      </c>
      <c r="Q684" t="s">
        <v>8</v>
      </c>
      <c r="R684">
        <v>128533080</v>
      </c>
      <c r="S684">
        <v>128533080</v>
      </c>
      <c r="T684">
        <v>128533080</v>
      </c>
      <c r="U684" t="s">
        <v>62</v>
      </c>
      <c r="V684" t="s">
        <v>63</v>
      </c>
    </row>
    <row r="685" spans="1:22" x14ac:dyDescent="0.25">
      <c r="A685">
        <v>41451347753</v>
      </c>
      <c r="B685" t="s">
        <v>2</v>
      </c>
      <c r="C685" t="s">
        <v>233</v>
      </c>
      <c r="D685">
        <v>41451347753</v>
      </c>
      <c r="E685" s="1">
        <v>46206.680642743057</v>
      </c>
      <c r="F685">
        <v>115</v>
      </c>
      <c r="G685">
        <v>3</v>
      </c>
      <c r="H685" t="s">
        <v>4</v>
      </c>
      <c r="I685" t="s">
        <v>5</v>
      </c>
      <c r="J685" t="s">
        <v>6</v>
      </c>
      <c r="K685">
        <v>16281625</v>
      </c>
      <c r="L685">
        <v>608407</v>
      </c>
      <c r="M685">
        <v>100000</v>
      </c>
      <c r="N685" t="s">
        <v>7</v>
      </c>
      <c r="O685">
        <v>1290549.53</v>
      </c>
      <c r="P685" t="s">
        <v>61</v>
      </c>
      <c r="Q685" t="s">
        <v>8</v>
      </c>
      <c r="R685">
        <v>128533080</v>
      </c>
      <c r="S685">
        <v>128533080</v>
      </c>
      <c r="T685">
        <v>128533080</v>
      </c>
      <c r="U685" t="s">
        <v>62</v>
      </c>
      <c r="V685" t="s">
        <v>63</v>
      </c>
    </row>
    <row r="686" spans="1:22" x14ac:dyDescent="0.25">
      <c r="A686">
        <v>41450795129</v>
      </c>
      <c r="B686" t="s">
        <v>2</v>
      </c>
      <c r="C686" t="s">
        <v>233</v>
      </c>
      <c r="D686">
        <v>41450795129</v>
      </c>
      <c r="E686" s="1">
        <v>46206.516615960645</v>
      </c>
      <c r="F686">
        <v>115</v>
      </c>
      <c r="G686">
        <v>3</v>
      </c>
      <c r="H686" t="s">
        <v>68</v>
      </c>
      <c r="I686" t="s">
        <v>5</v>
      </c>
      <c r="J686" t="s">
        <v>6</v>
      </c>
      <c r="K686">
        <v>54606</v>
      </c>
      <c r="L686">
        <v>165760</v>
      </c>
      <c r="M686">
        <v>25000</v>
      </c>
      <c r="N686" t="s">
        <v>7</v>
      </c>
      <c r="O686">
        <v>322637.40999999997</v>
      </c>
      <c r="P686" t="s">
        <v>69</v>
      </c>
      <c r="Q686" t="s">
        <v>8</v>
      </c>
      <c r="R686">
        <v>102909595</v>
      </c>
      <c r="S686">
        <v>102909595</v>
      </c>
      <c r="T686">
        <v>102909595</v>
      </c>
      <c r="U686" t="s">
        <v>70</v>
      </c>
      <c r="V686" t="s">
        <v>9</v>
      </c>
    </row>
    <row r="687" spans="1:22" x14ac:dyDescent="0.25">
      <c r="A687">
        <v>41450496287</v>
      </c>
      <c r="B687" t="s">
        <v>2</v>
      </c>
      <c r="C687" t="s">
        <v>233</v>
      </c>
      <c r="D687">
        <v>41450496287</v>
      </c>
      <c r="E687" s="1">
        <v>46206.415541354167</v>
      </c>
      <c r="F687">
        <v>115</v>
      </c>
      <c r="G687">
        <v>3</v>
      </c>
      <c r="H687" t="s">
        <v>68</v>
      </c>
      <c r="I687" t="s">
        <v>5</v>
      </c>
      <c r="J687" t="s">
        <v>6</v>
      </c>
      <c r="K687">
        <v>54606</v>
      </c>
      <c r="L687">
        <v>165760</v>
      </c>
      <c r="M687">
        <v>25000</v>
      </c>
      <c r="N687" t="s">
        <v>7</v>
      </c>
      <c r="O687">
        <v>322637.40999999997</v>
      </c>
      <c r="P687" t="s">
        <v>69</v>
      </c>
      <c r="Q687" t="s">
        <v>8</v>
      </c>
      <c r="R687">
        <v>102909595</v>
      </c>
      <c r="S687">
        <v>102909595</v>
      </c>
      <c r="T687">
        <v>102909595</v>
      </c>
      <c r="U687" t="s">
        <v>70</v>
      </c>
      <c r="V687" t="s">
        <v>9</v>
      </c>
    </row>
    <row r="688" spans="1:22" x14ac:dyDescent="0.25">
      <c r="A688">
        <v>41452226654</v>
      </c>
      <c r="B688" t="s">
        <v>2</v>
      </c>
      <c r="C688" t="s">
        <v>233</v>
      </c>
      <c r="D688">
        <v>41452226654</v>
      </c>
      <c r="E688" s="1">
        <v>46207.438342685185</v>
      </c>
      <c r="F688">
        <v>115</v>
      </c>
      <c r="G688">
        <v>3</v>
      </c>
      <c r="H688" t="s">
        <v>4</v>
      </c>
      <c r="I688" t="s">
        <v>5</v>
      </c>
      <c r="J688" t="s">
        <v>6</v>
      </c>
      <c r="K688">
        <v>16281625</v>
      </c>
      <c r="L688">
        <v>608407</v>
      </c>
      <c r="M688">
        <v>100000</v>
      </c>
      <c r="N688" t="s">
        <v>7</v>
      </c>
      <c r="O688">
        <v>1290549.53</v>
      </c>
      <c r="P688" t="s">
        <v>61</v>
      </c>
      <c r="Q688" t="s">
        <v>8</v>
      </c>
      <c r="R688">
        <v>128533080</v>
      </c>
      <c r="S688">
        <v>128533080</v>
      </c>
      <c r="T688">
        <v>128533080</v>
      </c>
      <c r="U688" t="s">
        <v>62</v>
      </c>
      <c r="V688" t="s">
        <v>63</v>
      </c>
    </row>
    <row r="689" spans="1:22" x14ac:dyDescent="0.25">
      <c r="A689">
        <v>41456954979</v>
      </c>
      <c r="B689" t="s">
        <v>2</v>
      </c>
      <c r="C689" t="s">
        <v>233</v>
      </c>
      <c r="D689">
        <v>41456954979</v>
      </c>
      <c r="E689" s="1">
        <v>46210.496085254628</v>
      </c>
      <c r="F689">
        <v>115</v>
      </c>
      <c r="G689">
        <v>3</v>
      </c>
      <c r="H689" t="s">
        <v>4</v>
      </c>
      <c r="I689" t="s">
        <v>5</v>
      </c>
      <c r="J689" t="s">
        <v>6</v>
      </c>
      <c r="K689">
        <v>50254528</v>
      </c>
      <c r="L689">
        <v>41333</v>
      </c>
      <c r="M689">
        <v>80000</v>
      </c>
      <c r="N689" t="s">
        <v>7</v>
      </c>
      <c r="O689">
        <v>1032439.7</v>
      </c>
      <c r="P689" t="s">
        <v>169</v>
      </c>
      <c r="Q689" t="s">
        <v>8</v>
      </c>
      <c r="R689">
        <v>114795784</v>
      </c>
      <c r="S689">
        <v>114795784</v>
      </c>
      <c r="T689">
        <v>114795784</v>
      </c>
      <c r="U689" t="s">
        <v>170</v>
      </c>
      <c r="V689" t="s">
        <v>15</v>
      </c>
    </row>
    <row r="690" spans="1:22" x14ac:dyDescent="0.25">
      <c r="A690">
        <v>41462850655</v>
      </c>
      <c r="B690" t="s">
        <v>2</v>
      </c>
      <c r="C690" t="s">
        <v>233</v>
      </c>
      <c r="D690">
        <v>41462850655</v>
      </c>
      <c r="E690" s="1">
        <v>46213.789105752316</v>
      </c>
      <c r="F690">
        <v>115</v>
      </c>
      <c r="G690">
        <v>3</v>
      </c>
      <c r="H690" t="s">
        <v>143</v>
      </c>
      <c r="I690" t="s">
        <v>5</v>
      </c>
      <c r="J690" t="s">
        <v>6</v>
      </c>
      <c r="K690">
        <v>10235121</v>
      </c>
      <c r="L690">
        <v>403232</v>
      </c>
      <c r="M690">
        <v>80000</v>
      </c>
      <c r="N690" t="s">
        <v>7</v>
      </c>
      <c r="O690">
        <v>1032439.7</v>
      </c>
      <c r="P690" t="s">
        <v>144</v>
      </c>
      <c r="Q690" t="s">
        <v>8</v>
      </c>
      <c r="R690">
        <v>148525652</v>
      </c>
      <c r="S690">
        <v>148525652</v>
      </c>
      <c r="T690">
        <v>148525652</v>
      </c>
      <c r="U690" t="s">
        <v>145</v>
      </c>
      <c r="V690" t="s">
        <v>9</v>
      </c>
    </row>
    <row r="691" spans="1:22" x14ac:dyDescent="0.25">
      <c r="A691">
        <v>41463745341</v>
      </c>
      <c r="B691" t="s">
        <v>2</v>
      </c>
      <c r="C691" t="s">
        <v>233</v>
      </c>
      <c r="D691">
        <v>41463745341</v>
      </c>
      <c r="E691" s="1">
        <v>46214.552352708335</v>
      </c>
      <c r="F691">
        <v>115</v>
      </c>
      <c r="G691">
        <v>3</v>
      </c>
      <c r="H691" t="s">
        <v>143</v>
      </c>
      <c r="I691" t="s">
        <v>5</v>
      </c>
      <c r="J691" t="s">
        <v>6</v>
      </c>
      <c r="K691">
        <v>10235121</v>
      </c>
      <c r="L691">
        <v>403232</v>
      </c>
      <c r="M691">
        <v>80000</v>
      </c>
      <c r="N691" t="s">
        <v>7</v>
      </c>
      <c r="O691">
        <v>1032439.7</v>
      </c>
      <c r="P691" t="s">
        <v>144</v>
      </c>
      <c r="Q691" t="s">
        <v>8</v>
      </c>
      <c r="R691">
        <v>148525652</v>
      </c>
      <c r="S691">
        <v>148525652</v>
      </c>
      <c r="T691">
        <v>148525652</v>
      </c>
      <c r="U691" t="s">
        <v>145</v>
      </c>
      <c r="V691" t="s">
        <v>9</v>
      </c>
    </row>
    <row r="692" spans="1:22" x14ac:dyDescent="0.25">
      <c r="A692">
        <v>41467041081</v>
      </c>
      <c r="B692" t="s">
        <v>2</v>
      </c>
      <c r="C692" t="s">
        <v>233</v>
      </c>
      <c r="D692">
        <v>41467041081</v>
      </c>
      <c r="E692" s="1">
        <v>46216.780492708334</v>
      </c>
      <c r="F692">
        <v>115</v>
      </c>
      <c r="G692">
        <v>3</v>
      </c>
      <c r="H692" t="s">
        <v>4</v>
      </c>
      <c r="I692" t="s">
        <v>5</v>
      </c>
      <c r="J692" t="s">
        <v>6</v>
      </c>
      <c r="K692">
        <v>61424661</v>
      </c>
      <c r="L692">
        <v>608407</v>
      </c>
      <c r="M692">
        <v>10000</v>
      </c>
      <c r="N692" t="s">
        <v>7</v>
      </c>
      <c r="O692">
        <v>129054.96</v>
      </c>
      <c r="P692" t="s">
        <v>216</v>
      </c>
      <c r="Q692" t="s">
        <v>11</v>
      </c>
      <c r="R692">
        <v>125048454</v>
      </c>
      <c r="S692">
        <v>125048454</v>
      </c>
      <c r="T692">
        <v>125048454</v>
      </c>
      <c r="U692" t="s">
        <v>217</v>
      </c>
      <c r="V692" t="s">
        <v>9</v>
      </c>
    </row>
    <row r="693" spans="1:22" x14ac:dyDescent="0.25">
      <c r="A693">
        <v>41472246859</v>
      </c>
      <c r="B693" t="s">
        <v>2</v>
      </c>
      <c r="C693" t="s">
        <v>233</v>
      </c>
      <c r="D693">
        <v>41472246859</v>
      </c>
      <c r="E693" s="1">
        <v>46219.743704224536</v>
      </c>
      <c r="F693">
        <v>69</v>
      </c>
      <c r="G693">
        <v>3</v>
      </c>
      <c r="H693" t="s">
        <v>91</v>
      </c>
      <c r="I693" t="s">
        <v>5</v>
      </c>
      <c r="J693" t="s">
        <v>6</v>
      </c>
      <c r="K693">
        <v>10030747</v>
      </c>
      <c r="L693">
        <v>161923</v>
      </c>
      <c r="M693">
        <v>250000</v>
      </c>
      <c r="N693" t="s">
        <v>7</v>
      </c>
      <c r="O693">
        <v>3226373.98</v>
      </c>
      <c r="P693" t="s">
        <v>146</v>
      </c>
      <c r="Q693" t="s">
        <v>8</v>
      </c>
      <c r="R693">
        <v>107560732</v>
      </c>
      <c r="S693">
        <v>107560732</v>
      </c>
      <c r="T693">
        <v>107560732</v>
      </c>
      <c r="U693" t="s">
        <v>93</v>
      </c>
      <c r="V693" t="s">
        <v>9</v>
      </c>
    </row>
    <row r="694" spans="1:22" x14ac:dyDescent="0.25">
      <c r="A694">
        <v>41486224304</v>
      </c>
      <c r="B694" t="s">
        <v>2</v>
      </c>
      <c r="C694" t="s">
        <v>233</v>
      </c>
      <c r="D694">
        <v>41486224304</v>
      </c>
      <c r="E694" s="1">
        <v>46227.857881863427</v>
      </c>
      <c r="F694">
        <v>115</v>
      </c>
      <c r="G694">
        <v>3</v>
      </c>
      <c r="H694" t="s">
        <v>4</v>
      </c>
      <c r="I694" t="s">
        <v>5</v>
      </c>
      <c r="J694" t="s">
        <v>6</v>
      </c>
      <c r="K694">
        <v>26180505</v>
      </c>
      <c r="L694">
        <v>608407</v>
      </c>
      <c r="M694">
        <v>100000</v>
      </c>
      <c r="N694" t="s">
        <v>7</v>
      </c>
      <c r="O694">
        <v>1298483.98</v>
      </c>
      <c r="P694" t="s">
        <v>265</v>
      </c>
      <c r="Q694" t="s">
        <v>8</v>
      </c>
      <c r="R694">
        <v>126118058</v>
      </c>
      <c r="S694">
        <v>126118058</v>
      </c>
      <c r="T694">
        <v>126118058</v>
      </c>
      <c r="U694" t="s">
        <v>264</v>
      </c>
      <c r="V694" t="s">
        <v>15</v>
      </c>
    </row>
    <row r="695" spans="1:22" x14ac:dyDescent="0.25">
      <c r="A695">
        <v>41486220957</v>
      </c>
      <c r="B695" t="s">
        <v>2</v>
      </c>
      <c r="C695" t="s">
        <v>233</v>
      </c>
      <c r="D695">
        <v>41486220957</v>
      </c>
      <c r="E695" s="1">
        <v>46227.856335497687</v>
      </c>
      <c r="F695">
        <v>115</v>
      </c>
      <c r="G695">
        <v>3</v>
      </c>
      <c r="H695" t="s">
        <v>4</v>
      </c>
      <c r="I695" t="s">
        <v>5</v>
      </c>
      <c r="J695" t="s">
        <v>6</v>
      </c>
      <c r="K695">
        <v>26180505</v>
      </c>
      <c r="L695">
        <v>608407</v>
      </c>
      <c r="M695">
        <v>100000</v>
      </c>
      <c r="N695" t="s">
        <v>7</v>
      </c>
      <c r="O695">
        <v>1298483.98</v>
      </c>
      <c r="P695" t="s">
        <v>265</v>
      </c>
      <c r="Q695" t="s">
        <v>8</v>
      </c>
      <c r="R695">
        <v>126118058</v>
      </c>
      <c r="S695">
        <v>126118058</v>
      </c>
      <c r="T695">
        <v>126118058</v>
      </c>
      <c r="U695" t="s">
        <v>264</v>
      </c>
      <c r="V695" t="s">
        <v>15</v>
      </c>
    </row>
    <row r="696" spans="1:22" x14ac:dyDescent="0.25">
      <c r="A696">
        <v>41495811253</v>
      </c>
      <c r="B696" t="s">
        <v>2</v>
      </c>
      <c r="C696" t="s">
        <v>233</v>
      </c>
      <c r="D696">
        <v>41495811253</v>
      </c>
      <c r="E696" s="1">
        <v>46233.348708923608</v>
      </c>
      <c r="F696">
        <v>115</v>
      </c>
      <c r="G696">
        <v>3</v>
      </c>
      <c r="H696" t="s">
        <v>4</v>
      </c>
      <c r="I696" t="s">
        <v>5</v>
      </c>
      <c r="J696" t="s">
        <v>6</v>
      </c>
      <c r="K696">
        <v>12808787</v>
      </c>
      <c r="L696">
        <v>406437</v>
      </c>
      <c r="M696">
        <v>13590</v>
      </c>
      <c r="N696" t="s">
        <v>7</v>
      </c>
      <c r="O696">
        <v>176463.93</v>
      </c>
      <c r="P696" t="s">
        <v>290</v>
      </c>
      <c r="Q696" t="s">
        <v>11</v>
      </c>
      <c r="R696">
        <v>117384925</v>
      </c>
      <c r="S696">
        <v>117384925</v>
      </c>
      <c r="T696">
        <v>117384925</v>
      </c>
      <c r="U696" t="s">
        <v>291</v>
      </c>
      <c r="V696" t="s">
        <v>292</v>
      </c>
    </row>
    <row r="697" spans="1:22" x14ac:dyDescent="0.25">
      <c r="A697">
        <v>41469450367</v>
      </c>
      <c r="B697" t="s">
        <v>10</v>
      </c>
      <c r="C697" t="s">
        <v>109</v>
      </c>
      <c r="D697">
        <v>41469450367</v>
      </c>
      <c r="E697" s="1">
        <v>46218.527323796297</v>
      </c>
      <c r="F697">
        <v>115</v>
      </c>
      <c r="G697">
        <v>3</v>
      </c>
      <c r="H697" t="s">
        <v>4</v>
      </c>
      <c r="I697" t="s">
        <v>5</v>
      </c>
      <c r="J697" t="s">
        <v>6</v>
      </c>
      <c r="K697">
        <v>91459589</v>
      </c>
      <c r="L697">
        <v>406437</v>
      </c>
      <c r="M697">
        <v>20000</v>
      </c>
      <c r="N697" t="s">
        <v>7</v>
      </c>
      <c r="O697">
        <v>258109.93</v>
      </c>
      <c r="P697" t="s">
        <v>122</v>
      </c>
      <c r="Q697" t="s">
        <v>8</v>
      </c>
      <c r="R697">
        <v>116609553</v>
      </c>
      <c r="S697">
        <v>116609553</v>
      </c>
      <c r="T697">
        <v>116609553</v>
      </c>
      <c r="U697" t="s">
        <v>123</v>
      </c>
      <c r="V697" t="s">
        <v>9</v>
      </c>
    </row>
    <row r="698" spans="1:22" x14ac:dyDescent="0.25">
      <c r="A698">
        <v>41469450367</v>
      </c>
      <c r="B698" t="s">
        <v>10</v>
      </c>
      <c r="C698" t="s">
        <v>193</v>
      </c>
      <c r="D698">
        <v>41469450367</v>
      </c>
      <c r="E698" s="1">
        <v>46218.527323796297</v>
      </c>
      <c r="F698">
        <v>115</v>
      </c>
      <c r="G698">
        <v>3</v>
      </c>
      <c r="H698" t="s">
        <v>4</v>
      </c>
      <c r="I698" t="s">
        <v>5</v>
      </c>
      <c r="J698" t="s">
        <v>6</v>
      </c>
      <c r="K698">
        <v>91459589</v>
      </c>
      <c r="L698">
        <v>406437</v>
      </c>
      <c r="M698">
        <v>20000</v>
      </c>
      <c r="N698" t="s">
        <v>7</v>
      </c>
      <c r="O698">
        <v>258109.93</v>
      </c>
      <c r="P698" t="s">
        <v>122</v>
      </c>
      <c r="Q698" t="s">
        <v>8</v>
      </c>
      <c r="R698">
        <v>116609553</v>
      </c>
      <c r="S698">
        <v>116609553</v>
      </c>
      <c r="T698">
        <v>116609553</v>
      </c>
      <c r="U698" t="s">
        <v>123</v>
      </c>
      <c r="V698" t="s">
        <v>9</v>
      </c>
    </row>
    <row r="699" spans="1:22" x14ac:dyDescent="0.25">
      <c r="A699">
        <v>41469879563</v>
      </c>
      <c r="B699" t="s">
        <v>10</v>
      </c>
      <c r="C699" t="s">
        <v>42</v>
      </c>
      <c r="D699">
        <v>41469879563</v>
      </c>
      <c r="E699" s="1">
        <v>46218.678969502318</v>
      </c>
      <c r="F699">
        <v>115</v>
      </c>
      <c r="G699">
        <v>3</v>
      </c>
      <c r="H699" t="s">
        <v>4</v>
      </c>
      <c r="I699" t="s">
        <v>5</v>
      </c>
      <c r="J699" t="s">
        <v>6</v>
      </c>
      <c r="K699">
        <v>51971044</v>
      </c>
      <c r="L699">
        <v>406301</v>
      </c>
      <c r="M699">
        <v>19995</v>
      </c>
      <c r="N699" t="s">
        <v>7</v>
      </c>
      <c r="O699">
        <v>258045.42</v>
      </c>
      <c r="P699" t="s">
        <v>88</v>
      </c>
      <c r="Q699" t="s">
        <v>11</v>
      </c>
      <c r="R699">
        <v>92286806</v>
      </c>
      <c r="S699">
        <v>92286806</v>
      </c>
      <c r="T699">
        <v>92286806</v>
      </c>
      <c r="U699" t="s">
        <v>89</v>
      </c>
      <c r="V699" t="s">
        <v>90</v>
      </c>
    </row>
    <row r="700" spans="1:22" x14ac:dyDescent="0.25">
      <c r="A700">
        <v>41469879563</v>
      </c>
      <c r="B700" t="s">
        <v>10</v>
      </c>
      <c r="C700" t="s">
        <v>193</v>
      </c>
      <c r="D700">
        <v>41469879563</v>
      </c>
      <c r="E700" s="1">
        <v>46218.678969502318</v>
      </c>
      <c r="F700">
        <v>115</v>
      </c>
      <c r="G700">
        <v>3</v>
      </c>
      <c r="H700" t="s">
        <v>4</v>
      </c>
      <c r="I700" t="s">
        <v>5</v>
      </c>
      <c r="J700" t="s">
        <v>6</v>
      </c>
      <c r="K700">
        <v>51971044</v>
      </c>
      <c r="L700">
        <v>406301</v>
      </c>
      <c r="M700">
        <v>19995</v>
      </c>
      <c r="N700" t="s">
        <v>7</v>
      </c>
      <c r="O700">
        <v>258045.42</v>
      </c>
      <c r="P700" t="s">
        <v>88</v>
      </c>
      <c r="Q700" t="s">
        <v>11</v>
      </c>
      <c r="R700">
        <v>92286806</v>
      </c>
      <c r="S700">
        <v>92286806</v>
      </c>
      <c r="T700">
        <v>92286806</v>
      </c>
      <c r="U700" t="s">
        <v>89</v>
      </c>
      <c r="V700" t="s">
        <v>90</v>
      </c>
    </row>
    <row r="701" spans="1:22" x14ac:dyDescent="0.25">
      <c r="A701">
        <v>41472245890</v>
      </c>
      <c r="B701" t="s">
        <v>10</v>
      </c>
      <c r="C701" t="s">
        <v>42</v>
      </c>
      <c r="D701">
        <v>41472245890</v>
      </c>
      <c r="E701" s="1">
        <v>46219.743692951386</v>
      </c>
      <c r="F701">
        <v>115</v>
      </c>
      <c r="G701">
        <v>3</v>
      </c>
      <c r="H701" t="s">
        <v>91</v>
      </c>
      <c r="I701" t="s">
        <v>5</v>
      </c>
      <c r="J701" t="s">
        <v>6</v>
      </c>
      <c r="K701">
        <v>10030747</v>
      </c>
      <c r="L701">
        <v>161923</v>
      </c>
      <c r="M701">
        <v>17000</v>
      </c>
      <c r="N701" t="s">
        <v>7</v>
      </c>
      <c r="O701">
        <v>219393.44</v>
      </c>
      <c r="P701" t="s">
        <v>92</v>
      </c>
      <c r="Q701" t="s">
        <v>8</v>
      </c>
      <c r="R701">
        <v>107560732</v>
      </c>
      <c r="S701">
        <v>107560732</v>
      </c>
      <c r="T701">
        <v>107560732</v>
      </c>
      <c r="U701" t="s">
        <v>93</v>
      </c>
      <c r="V701" t="s">
        <v>9</v>
      </c>
    </row>
    <row r="702" spans="1:22" x14ac:dyDescent="0.25">
      <c r="A702">
        <v>41472245890</v>
      </c>
      <c r="B702" t="s">
        <v>10</v>
      </c>
      <c r="C702" t="s">
        <v>193</v>
      </c>
      <c r="D702">
        <v>41472245890</v>
      </c>
      <c r="E702" s="1">
        <v>46219.743692951386</v>
      </c>
      <c r="F702">
        <v>115</v>
      </c>
      <c r="G702">
        <v>3</v>
      </c>
      <c r="H702" t="s">
        <v>91</v>
      </c>
      <c r="I702" t="s">
        <v>5</v>
      </c>
      <c r="J702" t="s">
        <v>6</v>
      </c>
      <c r="K702">
        <v>10030747</v>
      </c>
      <c r="L702">
        <v>161923</v>
      </c>
      <c r="M702">
        <v>17000</v>
      </c>
      <c r="N702" t="s">
        <v>7</v>
      </c>
      <c r="O702">
        <v>219393.44</v>
      </c>
      <c r="P702" t="s">
        <v>92</v>
      </c>
      <c r="Q702" t="s">
        <v>8</v>
      </c>
      <c r="R702">
        <v>107560732</v>
      </c>
      <c r="S702">
        <v>107560732</v>
      </c>
      <c r="T702">
        <v>107560732</v>
      </c>
      <c r="U702" t="s">
        <v>93</v>
      </c>
      <c r="V702" t="s">
        <v>9</v>
      </c>
    </row>
    <row r="703" spans="1:22" x14ac:dyDescent="0.25">
      <c r="A703">
        <v>41472246859</v>
      </c>
      <c r="B703" t="s">
        <v>2</v>
      </c>
      <c r="C703" t="s">
        <v>159</v>
      </c>
      <c r="D703">
        <v>41472246859</v>
      </c>
      <c r="E703" s="1">
        <v>46219.743704224536</v>
      </c>
      <c r="F703">
        <v>69</v>
      </c>
      <c r="G703">
        <v>3</v>
      </c>
      <c r="H703" t="s">
        <v>91</v>
      </c>
      <c r="I703" t="s">
        <v>5</v>
      </c>
      <c r="J703" t="s">
        <v>6</v>
      </c>
      <c r="K703">
        <v>10030747</v>
      </c>
      <c r="L703">
        <v>161923</v>
      </c>
      <c r="M703">
        <v>250000</v>
      </c>
      <c r="N703" t="s">
        <v>7</v>
      </c>
      <c r="O703">
        <v>3226373.98</v>
      </c>
      <c r="P703" t="s">
        <v>146</v>
      </c>
      <c r="Q703" t="s">
        <v>8</v>
      </c>
      <c r="R703">
        <v>107560732</v>
      </c>
      <c r="S703">
        <v>107560732</v>
      </c>
      <c r="T703">
        <v>107560732</v>
      </c>
      <c r="U703" t="s">
        <v>93</v>
      </c>
      <c r="V703" t="s">
        <v>9</v>
      </c>
    </row>
    <row r="704" spans="1:22" x14ac:dyDescent="0.25">
      <c r="A704">
        <v>41472246859</v>
      </c>
      <c r="B704" t="s">
        <v>2</v>
      </c>
      <c r="C704" t="s">
        <v>185</v>
      </c>
      <c r="D704">
        <v>41472246859</v>
      </c>
      <c r="E704" s="1">
        <v>46219.743704224536</v>
      </c>
      <c r="F704">
        <v>69</v>
      </c>
      <c r="G704">
        <v>3</v>
      </c>
      <c r="H704" t="s">
        <v>91</v>
      </c>
      <c r="I704" t="s">
        <v>5</v>
      </c>
      <c r="J704" t="s">
        <v>6</v>
      </c>
      <c r="K704">
        <v>10030747</v>
      </c>
      <c r="L704">
        <v>161923</v>
      </c>
      <c r="M704">
        <v>250000</v>
      </c>
      <c r="N704" t="s">
        <v>7</v>
      </c>
      <c r="O704">
        <v>3226373.98</v>
      </c>
      <c r="P704" t="s">
        <v>146</v>
      </c>
      <c r="Q704" t="s">
        <v>8</v>
      </c>
      <c r="R704">
        <v>107560732</v>
      </c>
      <c r="S704">
        <v>107560732</v>
      </c>
      <c r="T704">
        <v>107560732</v>
      </c>
      <c r="U704" t="s">
        <v>93</v>
      </c>
      <c r="V704" t="s">
        <v>9</v>
      </c>
    </row>
    <row r="705" spans="1:22" x14ac:dyDescent="0.25">
      <c r="A705">
        <v>41472246859</v>
      </c>
      <c r="B705" t="s">
        <v>2</v>
      </c>
      <c r="C705" t="s">
        <v>190</v>
      </c>
      <c r="D705">
        <v>41472246859</v>
      </c>
      <c r="E705" s="1">
        <v>46219.743704224536</v>
      </c>
      <c r="F705">
        <v>69</v>
      </c>
      <c r="G705">
        <v>3</v>
      </c>
      <c r="H705" t="s">
        <v>91</v>
      </c>
      <c r="I705" t="s">
        <v>5</v>
      </c>
      <c r="J705" t="s">
        <v>6</v>
      </c>
      <c r="K705">
        <v>10030747</v>
      </c>
      <c r="L705">
        <v>161923</v>
      </c>
      <c r="M705">
        <v>250000</v>
      </c>
      <c r="N705" t="s">
        <v>7</v>
      </c>
      <c r="O705">
        <v>3226373.98</v>
      </c>
      <c r="P705" t="s">
        <v>146</v>
      </c>
      <c r="Q705" t="s">
        <v>8</v>
      </c>
      <c r="R705">
        <v>107560732</v>
      </c>
      <c r="S705">
        <v>107560732</v>
      </c>
      <c r="T705">
        <v>107560732</v>
      </c>
      <c r="U705" t="s">
        <v>93</v>
      </c>
      <c r="V705" t="s">
        <v>9</v>
      </c>
    </row>
    <row r="706" spans="1:22" x14ac:dyDescent="0.25">
      <c r="A706">
        <v>41472246859</v>
      </c>
      <c r="B706" t="s">
        <v>2</v>
      </c>
      <c r="C706" t="s">
        <v>191</v>
      </c>
      <c r="D706">
        <v>41472246859</v>
      </c>
      <c r="E706" s="1">
        <v>46219.743704224536</v>
      </c>
      <c r="F706">
        <v>69</v>
      </c>
      <c r="G706">
        <v>3</v>
      </c>
      <c r="H706" t="s">
        <v>91</v>
      </c>
      <c r="I706" t="s">
        <v>5</v>
      </c>
      <c r="J706" t="s">
        <v>6</v>
      </c>
      <c r="K706">
        <v>10030747</v>
      </c>
      <c r="L706">
        <v>161923</v>
      </c>
      <c r="M706">
        <v>250000</v>
      </c>
      <c r="N706" t="s">
        <v>7</v>
      </c>
      <c r="O706">
        <v>3226373.98</v>
      </c>
      <c r="P706" t="s">
        <v>146</v>
      </c>
      <c r="Q706" t="s">
        <v>8</v>
      </c>
      <c r="R706">
        <v>107560732</v>
      </c>
      <c r="S706">
        <v>107560732</v>
      </c>
      <c r="T706">
        <v>107560732</v>
      </c>
      <c r="U706" t="s">
        <v>93</v>
      </c>
      <c r="V706" t="s">
        <v>9</v>
      </c>
    </row>
    <row r="707" spans="1:22" x14ac:dyDescent="0.25">
      <c r="A707">
        <v>41472246859</v>
      </c>
      <c r="B707" t="s">
        <v>2</v>
      </c>
      <c r="C707" t="s">
        <v>193</v>
      </c>
      <c r="D707">
        <v>41472246859</v>
      </c>
      <c r="E707" s="1">
        <v>46219.743704224536</v>
      </c>
      <c r="F707">
        <v>69</v>
      </c>
      <c r="G707">
        <v>3</v>
      </c>
      <c r="H707" t="s">
        <v>91</v>
      </c>
      <c r="I707" t="s">
        <v>5</v>
      </c>
      <c r="J707" t="s">
        <v>6</v>
      </c>
      <c r="K707">
        <v>10030747</v>
      </c>
      <c r="L707">
        <v>161923</v>
      </c>
      <c r="M707">
        <v>250000</v>
      </c>
      <c r="N707" t="s">
        <v>7</v>
      </c>
      <c r="O707">
        <v>3226373.98</v>
      </c>
      <c r="P707" t="s">
        <v>146</v>
      </c>
      <c r="Q707" t="s">
        <v>8</v>
      </c>
      <c r="R707">
        <v>107560732</v>
      </c>
      <c r="S707">
        <v>107560732</v>
      </c>
      <c r="T707">
        <v>107560732</v>
      </c>
      <c r="U707" t="s">
        <v>93</v>
      </c>
      <c r="V707" t="s">
        <v>9</v>
      </c>
    </row>
    <row r="708" spans="1:22" x14ac:dyDescent="0.25">
      <c r="A708">
        <v>41472246859</v>
      </c>
      <c r="B708" t="s">
        <v>2</v>
      </c>
      <c r="C708" t="s">
        <v>233</v>
      </c>
      <c r="D708">
        <v>41472246859</v>
      </c>
      <c r="E708" s="1">
        <v>46219.743704224536</v>
      </c>
      <c r="F708">
        <v>69</v>
      </c>
      <c r="G708">
        <v>3</v>
      </c>
      <c r="H708" t="s">
        <v>91</v>
      </c>
      <c r="I708" t="s">
        <v>5</v>
      </c>
      <c r="J708" t="s">
        <v>6</v>
      </c>
      <c r="K708">
        <v>10030747</v>
      </c>
      <c r="L708">
        <v>161923</v>
      </c>
      <c r="M708">
        <v>250000</v>
      </c>
      <c r="N708" t="s">
        <v>7</v>
      </c>
      <c r="O708">
        <v>3226373.98</v>
      </c>
      <c r="P708" t="s">
        <v>146</v>
      </c>
      <c r="Q708" t="s">
        <v>8</v>
      </c>
      <c r="R708">
        <v>107560732</v>
      </c>
      <c r="S708">
        <v>107560732</v>
      </c>
      <c r="T708">
        <v>107560732</v>
      </c>
      <c r="U708" t="s">
        <v>93</v>
      </c>
      <c r="V708" t="s">
        <v>9</v>
      </c>
    </row>
    <row r="709" spans="1:22" x14ac:dyDescent="0.25">
      <c r="A709">
        <v>41472853048</v>
      </c>
      <c r="B709" t="s">
        <v>10</v>
      </c>
      <c r="C709" t="s">
        <v>193</v>
      </c>
      <c r="D709">
        <v>41472853048</v>
      </c>
      <c r="E709" s="1">
        <v>46220.375604907407</v>
      </c>
      <c r="F709">
        <v>115</v>
      </c>
      <c r="G709">
        <v>3</v>
      </c>
      <c r="H709" t="s">
        <v>221</v>
      </c>
      <c r="I709" t="s">
        <v>5</v>
      </c>
      <c r="J709" t="s">
        <v>6</v>
      </c>
      <c r="K709">
        <v>51470736</v>
      </c>
      <c r="L709">
        <v>401160</v>
      </c>
      <c r="M709">
        <v>10000</v>
      </c>
      <c r="N709" t="s">
        <v>7</v>
      </c>
      <c r="O709">
        <v>129054.96</v>
      </c>
      <c r="P709" t="s">
        <v>222</v>
      </c>
      <c r="Q709" t="s">
        <v>11</v>
      </c>
      <c r="R709">
        <v>105165419</v>
      </c>
      <c r="S709">
        <v>105165419</v>
      </c>
      <c r="T709">
        <v>105165419</v>
      </c>
      <c r="U709" t="s">
        <v>223</v>
      </c>
      <c r="V709" t="s">
        <v>9</v>
      </c>
    </row>
    <row r="710" spans="1:22" x14ac:dyDescent="0.25">
      <c r="A710">
        <v>41473429686</v>
      </c>
      <c r="B710" t="s">
        <v>2</v>
      </c>
      <c r="C710" t="s">
        <v>180</v>
      </c>
      <c r="D710">
        <v>41473429686</v>
      </c>
      <c r="E710" s="1">
        <v>46220.569962905094</v>
      </c>
      <c r="F710">
        <v>115</v>
      </c>
      <c r="G710">
        <v>3</v>
      </c>
      <c r="H710" t="s">
        <v>4</v>
      </c>
      <c r="I710" t="s">
        <v>5</v>
      </c>
      <c r="J710" t="s">
        <v>6</v>
      </c>
      <c r="K710">
        <v>45103897</v>
      </c>
      <c r="L710">
        <v>609204</v>
      </c>
      <c r="M710">
        <v>25000</v>
      </c>
      <c r="N710" t="s">
        <v>7</v>
      </c>
      <c r="O710">
        <v>322637.40999999997</v>
      </c>
      <c r="P710" t="s">
        <v>181</v>
      </c>
      <c r="Q710" t="s">
        <v>8</v>
      </c>
      <c r="R710">
        <v>113366470</v>
      </c>
      <c r="S710">
        <v>113366470</v>
      </c>
      <c r="T710">
        <v>113366470</v>
      </c>
      <c r="U710" t="s">
        <v>182</v>
      </c>
      <c r="V710" t="s">
        <v>183</v>
      </c>
    </row>
    <row r="711" spans="1:22" x14ac:dyDescent="0.25">
      <c r="A711">
        <v>41473429686</v>
      </c>
      <c r="B711" t="s">
        <v>2</v>
      </c>
      <c r="C711" t="s">
        <v>190</v>
      </c>
      <c r="D711">
        <v>41473429686</v>
      </c>
      <c r="E711" s="1">
        <v>46220.569962905094</v>
      </c>
      <c r="F711">
        <v>115</v>
      </c>
      <c r="G711">
        <v>3</v>
      </c>
      <c r="H711" t="s">
        <v>4</v>
      </c>
      <c r="I711" t="s">
        <v>5</v>
      </c>
      <c r="J711" t="s">
        <v>6</v>
      </c>
      <c r="K711">
        <v>45103897</v>
      </c>
      <c r="L711">
        <v>609204</v>
      </c>
      <c r="M711">
        <v>25000</v>
      </c>
      <c r="N711" t="s">
        <v>7</v>
      </c>
      <c r="O711">
        <v>322637.40999999997</v>
      </c>
      <c r="P711" t="s">
        <v>181</v>
      </c>
      <c r="Q711" t="s">
        <v>8</v>
      </c>
      <c r="R711">
        <v>113366470</v>
      </c>
      <c r="S711">
        <v>113366470</v>
      </c>
      <c r="T711">
        <v>113366470</v>
      </c>
      <c r="U711" t="s">
        <v>182</v>
      </c>
      <c r="V711" t="s">
        <v>183</v>
      </c>
    </row>
    <row r="712" spans="1:22" x14ac:dyDescent="0.25">
      <c r="A712">
        <v>41473429686</v>
      </c>
      <c r="B712" t="s">
        <v>2</v>
      </c>
      <c r="C712" t="s">
        <v>193</v>
      </c>
      <c r="D712">
        <v>41473429686</v>
      </c>
      <c r="E712" s="1">
        <v>46220.569962905094</v>
      </c>
      <c r="F712">
        <v>115</v>
      </c>
      <c r="G712">
        <v>3</v>
      </c>
      <c r="H712" t="s">
        <v>4</v>
      </c>
      <c r="I712" t="s">
        <v>5</v>
      </c>
      <c r="J712" t="s">
        <v>6</v>
      </c>
      <c r="K712">
        <v>45103897</v>
      </c>
      <c r="L712">
        <v>609204</v>
      </c>
      <c r="M712">
        <v>25000</v>
      </c>
      <c r="N712" t="s">
        <v>7</v>
      </c>
      <c r="O712">
        <v>322637.40999999997</v>
      </c>
      <c r="P712" t="s">
        <v>181</v>
      </c>
      <c r="Q712" t="s">
        <v>8</v>
      </c>
      <c r="R712">
        <v>113366470</v>
      </c>
      <c r="S712">
        <v>113366470</v>
      </c>
      <c r="T712">
        <v>113366470</v>
      </c>
      <c r="U712" t="s">
        <v>182</v>
      </c>
      <c r="V712" t="s">
        <v>183</v>
      </c>
    </row>
    <row r="713" spans="1:22" x14ac:dyDescent="0.25">
      <c r="A713">
        <v>41473431379</v>
      </c>
      <c r="B713" t="s">
        <v>2</v>
      </c>
      <c r="C713" t="s">
        <v>180</v>
      </c>
      <c r="D713">
        <v>41473431379</v>
      </c>
      <c r="E713" s="1">
        <v>46220.570453796296</v>
      </c>
      <c r="F713">
        <v>115</v>
      </c>
      <c r="G713">
        <v>3</v>
      </c>
      <c r="H713" t="s">
        <v>4</v>
      </c>
      <c r="I713" t="s">
        <v>5</v>
      </c>
      <c r="J713" t="s">
        <v>6</v>
      </c>
      <c r="K713">
        <v>45057828</v>
      </c>
      <c r="L713">
        <v>609204</v>
      </c>
      <c r="M713">
        <v>25000</v>
      </c>
      <c r="N713" t="s">
        <v>7</v>
      </c>
      <c r="O713">
        <v>322637.40999999997</v>
      </c>
      <c r="P713" t="s">
        <v>184</v>
      </c>
      <c r="Q713" t="s">
        <v>8</v>
      </c>
      <c r="R713">
        <v>113366470</v>
      </c>
      <c r="S713">
        <v>113366470</v>
      </c>
      <c r="T713">
        <v>113366470</v>
      </c>
      <c r="U713" t="s">
        <v>182</v>
      </c>
      <c r="V713" t="s">
        <v>183</v>
      </c>
    </row>
    <row r="714" spans="1:22" x14ac:dyDescent="0.25">
      <c r="A714">
        <v>41473431379</v>
      </c>
      <c r="B714" t="s">
        <v>2</v>
      </c>
      <c r="C714" t="s">
        <v>185</v>
      </c>
      <c r="D714">
        <v>41473431379</v>
      </c>
      <c r="E714" s="1">
        <v>46220.570453796296</v>
      </c>
      <c r="F714">
        <v>115</v>
      </c>
      <c r="G714">
        <v>3</v>
      </c>
      <c r="H714" t="s">
        <v>4</v>
      </c>
      <c r="I714" t="s">
        <v>5</v>
      </c>
      <c r="J714" t="s">
        <v>6</v>
      </c>
      <c r="K714">
        <v>45057828</v>
      </c>
      <c r="L714">
        <v>609204</v>
      </c>
      <c r="M714">
        <v>25000</v>
      </c>
      <c r="N714" t="s">
        <v>7</v>
      </c>
      <c r="O714">
        <v>322637.40999999997</v>
      </c>
      <c r="P714" t="s">
        <v>184</v>
      </c>
      <c r="Q714" t="s">
        <v>8</v>
      </c>
      <c r="R714">
        <v>113366470</v>
      </c>
      <c r="S714">
        <v>113366470</v>
      </c>
      <c r="T714">
        <v>113366470</v>
      </c>
      <c r="U714" t="s">
        <v>182</v>
      </c>
      <c r="V714" t="s">
        <v>183</v>
      </c>
    </row>
    <row r="715" spans="1:22" x14ac:dyDescent="0.25">
      <c r="A715">
        <v>41473431379</v>
      </c>
      <c r="B715" t="s">
        <v>2</v>
      </c>
      <c r="C715" t="s">
        <v>190</v>
      </c>
      <c r="D715">
        <v>41473431379</v>
      </c>
      <c r="E715" s="1">
        <v>46220.570453796296</v>
      </c>
      <c r="F715">
        <v>115</v>
      </c>
      <c r="G715">
        <v>3</v>
      </c>
      <c r="H715" t="s">
        <v>4</v>
      </c>
      <c r="I715" t="s">
        <v>5</v>
      </c>
      <c r="J715" t="s">
        <v>6</v>
      </c>
      <c r="K715">
        <v>45057828</v>
      </c>
      <c r="L715">
        <v>609204</v>
      </c>
      <c r="M715">
        <v>25000</v>
      </c>
      <c r="N715" t="s">
        <v>7</v>
      </c>
      <c r="O715">
        <v>322637.40999999997</v>
      </c>
      <c r="P715" t="s">
        <v>184</v>
      </c>
      <c r="Q715" t="s">
        <v>8</v>
      </c>
      <c r="R715">
        <v>113366470</v>
      </c>
      <c r="S715">
        <v>113366470</v>
      </c>
      <c r="T715">
        <v>113366470</v>
      </c>
      <c r="U715" t="s">
        <v>182</v>
      </c>
      <c r="V715" t="s">
        <v>183</v>
      </c>
    </row>
    <row r="716" spans="1:22" x14ac:dyDescent="0.25">
      <c r="A716">
        <v>41473431379</v>
      </c>
      <c r="B716" t="s">
        <v>2</v>
      </c>
      <c r="C716" t="s">
        <v>191</v>
      </c>
      <c r="D716">
        <v>41473431379</v>
      </c>
      <c r="E716" s="1">
        <v>46220.570453796296</v>
      </c>
      <c r="F716">
        <v>115</v>
      </c>
      <c r="G716">
        <v>3</v>
      </c>
      <c r="H716" t="s">
        <v>4</v>
      </c>
      <c r="I716" t="s">
        <v>5</v>
      </c>
      <c r="J716" t="s">
        <v>6</v>
      </c>
      <c r="K716">
        <v>45057828</v>
      </c>
      <c r="L716">
        <v>609204</v>
      </c>
      <c r="M716">
        <v>25000</v>
      </c>
      <c r="N716" t="s">
        <v>7</v>
      </c>
      <c r="O716">
        <v>322637.40999999997</v>
      </c>
      <c r="P716" t="s">
        <v>184</v>
      </c>
      <c r="Q716" t="s">
        <v>8</v>
      </c>
      <c r="R716">
        <v>113366470</v>
      </c>
      <c r="S716">
        <v>113366470</v>
      </c>
      <c r="T716">
        <v>113366470</v>
      </c>
      <c r="U716" t="s">
        <v>182</v>
      </c>
      <c r="V716" t="s">
        <v>183</v>
      </c>
    </row>
    <row r="717" spans="1:22" x14ac:dyDescent="0.25">
      <c r="A717">
        <v>41473431379</v>
      </c>
      <c r="B717" t="s">
        <v>2</v>
      </c>
      <c r="C717" t="s">
        <v>193</v>
      </c>
      <c r="D717">
        <v>41473431379</v>
      </c>
      <c r="E717" s="1">
        <v>46220.570453796296</v>
      </c>
      <c r="F717">
        <v>115</v>
      </c>
      <c r="G717">
        <v>3</v>
      </c>
      <c r="H717" t="s">
        <v>4</v>
      </c>
      <c r="I717" t="s">
        <v>5</v>
      </c>
      <c r="J717" t="s">
        <v>6</v>
      </c>
      <c r="K717">
        <v>45057828</v>
      </c>
      <c r="L717">
        <v>609204</v>
      </c>
      <c r="M717">
        <v>25000</v>
      </c>
      <c r="N717" t="s">
        <v>7</v>
      </c>
      <c r="O717">
        <v>322637.40999999997</v>
      </c>
      <c r="P717" t="s">
        <v>184</v>
      </c>
      <c r="Q717" t="s">
        <v>8</v>
      </c>
      <c r="R717">
        <v>113366470</v>
      </c>
      <c r="S717">
        <v>113366470</v>
      </c>
      <c r="T717">
        <v>113366470</v>
      </c>
      <c r="U717" t="s">
        <v>182</v>
      </c>
      <c r="V717" t="s">
        <v>183</v>
      </c>
    </row>
    <row r="718" spans="1:22" x14ac:dyDescent="0.25">
      <c r="A718">
        <v>41473658022</v>
      </c>
      <c r="B718" t="s">
        <v>10</v>
      </c>
      <c r="C718" t="s">
        <v>42</v>
      </c>
      <c r="D718">
        <v>41473658022</v>
      </c>
      <c r="E718" s="1">
        <v>46220.647986539348</v>
      </c>
      <c r="F718">
        <v>115</v>
      </c>
      <c r="G718">
        <v>3</v>
      </c>
      <c r="H718" t="s">
        <v>4</v>
      </c>
      <c r="I718" t="s">
        <v>5</v>
      </c>
      <c r="J718" t="s">
        <v>6</v>
      </c>
      <c r="K718">
        <v>62629753</v>
      </c>
      <c r="L718">
        <v>608407</v>
      </c>
      <c r="M718">
        <v>10000</v>
      </c>
      <c r="N718" t="s">
        <v>7</v>
      </c>
      <c r="O718">
        <v>129054.96</v>
      </c>
      <c r="P718" t="s">
        <v>96</v>
      </c>
      <c r="Q718" t="s">
        <v>11</v>
      </c>
      <c r="R718">
        <v>118960145</v>
      </c>
      <c r="S718">
        <v>118960145</v>
      </c>
      <c r="T718">
        <v>118960145</v>
      </c>
      <c r="U718" t="s">
        <v>97</v>
      </c>
      <c r="V718" t="s">
        <v>9</v>
      </c>
    </row>
    <row r="719" spans="1:22" x14ac:dyDescent="0.25">
      <c r="A719">
        <v>41473658022</v>
      </c>
      <c r="B719" t="s">
        <v>10</v>
      </c>
      <c r="C719" t="s">
        <v>193</v>
      </c>
      <c r="D719">
        <v>41473658022</v>
      </c>
      <c r="E719" s="1">
        <v>46220.647986539348</v>
      </c>
      <c r="F719">
        <v>115</v>
      </c>
      <c r="G719">
        <v>3</v>
      </c>
      <c r="H719" t="s">
        <v>4</v>
      </c>
      <c r="I719" t="s">
        <v>5</v>
      </c>
      <c r="J719" t="s">
        <v>6</v>
      </c>
      <c r="K719">
        <v>62629753</v>
      </c>
      <c r="L719">
        <v>608407</v>
      </c>
      <c r="M719">
        <v>10000</v>
      </c>
      <c r="N719" t="s">
        <v>7</v>
      </c>
      <c r="O719">
        <v>129054.96</v>
      </c>
      <c r="P719" t="s">
        <v>96</v>
      </c>
      <c r="Q719" t="s">
        <v>11</v>
      </c>
      <c r="R719">
        <v>118960145</v>
      </c>
      <c r="S719">
        <v>118960145</v>
      </c>
      <c r="T719">
        <v>118960145</v>
      </c>
      <c r="U719" t="s">
        <v>97</v>
      </c>
      <c r="V719" t="s">
        <v>9</v>
      </c>
    </row>
    <row r="720" spans="1:22" x14ac:dyDescent="0.25">
      <c r="A720">
        <v>41473704457</v>
      </c>
      <c r="B720" t="s">
        <v>10</v>
      </c>
      <c r="C720" t="s">
        <v>42</v>
      </c>
      <c r="D720">
        <v>41473704457</v>
      </c>
      <c r="E720" s="1">
        <v>46220.664305046295</v>
      </c>
      <c r="F720">
        <v>115</v>
      </c>
      <c r="G720">
        <v>3</v>
      </c>
      <c r="H720" t="s">
        <v>4</v>
      </c>
      <c r="I720" t="s">
        <v>5</v>
      </c>
      <c r="J720" t="s">
        <v>6</v>
      </c>
      <c r="K720">
        <v>26406586</v>
      </c>
      <c r="L720">
        <v>608456</v>
      </c>
      <c r="M720">
        <v>85000</v>
      </c>
      <c r="N720" t="s">
        <v>7</v>
      </c>
      <c r="O720">
        <v>1096967.19</v>
      </c>
      <c r="P720" t="s">
        <v>98</v>
      </c>
      <c r="Q720" t="s">
        <v>8</v>
      </c>
      <c r="R720">
        <v>96716188</v>
      </c>
      <c r="S720">
        <v>96716188</v>
      </c>
      <c r="T720">
        <v>96716188</v>
      </c>
      <c r="U720" t="s">
        <v>99</v>
      </c>
      <c r="V720" t="s">
        <v>9</v>
      </c>
    </row>
    <row r="721" spans="1:22" x14ac:dyDescent="0.25">
      <c r="A721">
        <v>41473704457</v>
      </c>
      <c r="B721" t="s">
        <v>10</v>
      </c>
      <c r="C721" t="s">
        <v>168</v>
      </c>
      <c r="D721">
        <v>41473704457</v>
      </c>
      <c r="E721" s="1">
        <v>46220.664305046295</v>
      </c>
      <c r="F721">
        <v>115</v>
      </c>
      <c r="G721">
        <v>3</v>
      </c>
      <c r="H721" t="s">
        <v>4</v>
      </c>
      <c r="I721" t="s">
        <v>5</v>
      </c>
      <c r="J721" t="s">
        <v>6</v>
      </c>
      <c r="K721">
        <v>26406586</v>
      </c>
      <c r="L721">
        <v>608456</v>
      </c>
      <c r="M721">
        <v>85000</v>
      </c>
      <c r="N721" t="s">
        <v>7</v>
      </c>
      <c r="O721">
        <v>1096967.19</v>
      </c>
      <c r="P721" t="s">
        <v>98</v>
      </c>
      <c r="Q721" t="s">
        <v>8</v>
      </c>
      <c r="R721">
        <v>96716188</v>
      </c>
      <c r="S721">
        <v>96716188</v>
      </c>
      <c r="T721">
        <v>96716188</v>
      </c>
      <c r="U721" t="s">
        <v>99</v>
      </c>
      <c r="V721" t="s">
        <v>9</v>
      </c>
    </row>
    <row r="722" spans="1:22" x14ac:dyDescent="0.25">
      <c r="A722">
        <v>41473704457</v>
      </c>
      <c r="B722" t="s">
        <v>10</v>
      </c>
      <c r="C722" t="s">
        <v>192</v>
      </c>
      <c r="D722">
        <v>41473704457</v>
      </c>
      <c r="E722" s="1">
        <v>46220.664305046295</v>
      </c>
      <c r="F722">
        <v>115</v>
      </c>
      <c r="G722">
        <v>3</v>
      </c>
      <c r="H722" t="s">
        <v>4</v>
      </c>
      <c r="I722" t="s">
        <v>5</v>
      </c>
      <c r="J722" t="s">
        <v>6</v>
      </c>
      <c r="K722">
        <v>26406586</v>
      </c>
      <c r="L722">
        <v>608456</v>
      </c>
      <c r="M722">
        <v>85000</v>
      </c>
      <c r="N722" t="s">
        <v>7</v>
      </c>
      <c r="O722">
        <v>1096967.19</v>
      </c>
      <c r="P722" t="s">
        <v>98</v>
      </c>
      <c r="Q722" t="s">
        <v>8</v>
      </c>
      <c r="R722">
        <v>96716188</v>
      </c>
      <c r="S722">
        <v>96716188</v>
      </c>
      <c r="T722">
        <v>96716188</v>
      </c>
      <c r="U722" t="s">
        <v>99</v>
      </c>
      <c r="V722" t="s">
        <v>9</v>
      </c>
    </row>
    <row r="723" spans="1:22" x14ac:dyDescent="0.25">
      <c r="A723">
        <v>41473704457</v>
      </c>
      <c r="B723" t="s">
        <v>10</v>
      </c>
      <c r="C723" t="s">
        <v>193</v>
      </c>
      <c r="D723">
        <v>41473704457</v>
      </c>
      <c r="E723" s="1">
        <v>46220.664305046295</v>
      </c>
      <c r="F723">
        <v>115</v>
      </c>
      <c r="G723">
        <v>3</v>
      </c>
      <c r="H723" t="s">
        <v>4</v>
      </c>
      <c r="I723" t="s">
        <v>5</v>
      </c>
      <c r="J723" t="s">
        <v>6</v>
      </c>
      <c r="K723">
        <v>26406586</v>
      </c>
      <c r="L723">
        <v>608456</v>
      </c>
      <c r="M723">
        <v>85000</v>
      </c>
      <c r="N723" t="s">
        <v>7</v>
      </c>
      <c r="O723">
        <v>1096967.19</v>
      </c>
      <c r="P723" t="s">
        <v>98</v>
      </c>
      <c r="Q723" t="s">
        <v>8</v>
      </c>
      <c r="R723">
        <v>96716188</v>
      </c>
      <c r="S723">
        <v>96716188</v>
      </c>
      <c r="T723">
        <v>96716188</v>
      </c>
      <c r="U723" t="s">
        <v>99</v>
      </c>
      <c r="V723" t="s">
        <v>9</v>
      </c>
    </row>
    <row r="724" spans="1:22" x14ac:dyDescent="0.25">
      <c r="A724">
        <v>41473748681</v>
      </c>
      <c r="B724" t="s">
        <v>10</v>
      </c>
      <c r="C724" t="s">
        <v>193</v>
      </c>
      <c r="D724">
        <v>41473748681</v>
      </c>
      <c r="E724" s="1">
        <v>46220.681090787039</v>
      </c>
      <c r="F724">
        <v>115</v>
      </c>
      <c r="G724">
        <v>3</v>
      </c>
      <c r="H724" t="s">
        <v>4</v>
      </c>
      <c r="I724" t="s">
        <v>5</v>
      </c>
      <c r="J724" t="s">
        <v>6</v>
      </c>
      <c r="K724">
        <v>63246516</v>
      </c>
      <c r="L724">
        <v>608407</v>
      </c>
      <c r="M724">
        <v>10000</v>
      </c>
      <c r="N724" t="s">
        <v>7</v>
      </c>
      <c r="O724">
        <v>129054.96</v>
      </c>
      <c r="P724" t="s">
        <v>94</v>
      </c>
      <c r="Q724" t="s">
        <v>8</v>
      </c>
      <c r="R724">
        <v>123075137</v>
      </c>
      <c r="S724">
        <v>123075137</v>
      </c>
      <c r="T724">
        <v>123075137</v>
      </c>
      <c r="U724" t="s">
        <v>95</v>
      </c>
      <c r="V724" t="s">
        <v>9</v>
      </c>
    </row>
    <row r="725" spans="1:22" x14ac:dyDescent="0.25">
      <c r="A725">
        <v>41473841513</v>
      </c>
      <c r="B725" t="s">
        <v>10</v>
      </c>
      <c r="C725" t="s">
        <v>128</v>
      </c>
      <c r="D725">
        <v>41473841513</v>
      </c>
      <c r="E725" s="1">
        <v>46220.716874965277</v>
      </c>
      <c r="F725">
        <v>115</v>
      </c>
      <c r="G725">
        <v>3</v>
      </c>
      <c r="H725" t="s">
        <v>4</v>
      </c>
      <c r="I725" t="s">
        <v>5</v>
      </c>
      <c r="J725" t="s">
        <v>6</v>
      </c>
      <c r="K725">
        <v>24040801</v>
      </c>
      <c r="L725">
        <v>40605</v>
      </c>
      <c r="M725">
        <v>13329.74</v>
      </c>
      <c r="N725" t="s">
        <v>7</v>
      </c>
      <c r="O725">
        <v>172026.88</v>
      </c>
      <c r="P725" t="s">
        <v>147</v>
      </c>
      <c r="Q725" t="s">
        <v>8</v>
      </c>
      <c r="R725">
        <v>128132131</v>
      </c>
      <c r="S725">
        <v>128132131</v>
      </c>
      <c r="T725">
        <v>128132131</v>
      </c>
      <c r="U725" t="s">
        <v>148</v>
      </c>
      <c r="V725" t="s">
        <v>9</v>
      </c>
    </row>
    <row r="726" spans="1:22" x14ac:dyDescent="0.25">
      <c r="A726">
        <v>41473841513</v>
      </c>
      <c r="B726" t="s">
        <v>10</v>
      </c>
      <c r="C726" t="s">
        <v>185</v>
      </c>
      <c r="D726">
        <v>41473841513</v>
      </c>
      <c r="E726" s="1">
        <v>46220.716874965277</v>
      </c>
      <c r="F726">
        <v>115</v>
      </c>
      <c r="G726">
        <v>3</v>
      </c>
      <c r="H726" t="s">
        <v>4</v>
      </c>
      <c r="I726" t="s">
        <v>5</v>
      </c>
      <c r="J726" t="s">
        <v>6</v>
      </c>
      <c r="K726">
        <v>24040801</v>
      </c>
      <c r="L726">
        <v>40605</v>
      </c>
      <c r="M726">
        <v>13329.74</v>
      </c>
      <c r="N726" t="s">
        <v>7</v>
      </c>
      <c r="O726">
        <v>172026.88</v>
      </c>
      <c r="P726" t="s">
        <v>147</v>
      </c>
      <c r="Q726" t="s">
        <v>8</v>
      </c>
      <c r="R726">
        <v>128132131</v>
      </c>
      <c r="S726">
        <v>128132131</v>
      </c>
      <c r="T726">
        <v>128132131</v>
      </c>
      <c r="U726" t="s">
        <v>148</v>
      </c>
      <c r="V726" t="s">
        <v>9</v>
      </c>
    </row>
    <row r="727" spans="1:22" x14ac:dyDescent="0.25">
      <c r="A727">
        <v>41473841513</v>
      </c>
      <c r="B727" t="s">
        <v>10</v>
      </c>
      <c r="C727" t="s">
        <v>193</v>
      </c>
      <c r="D727">
        <v>41473841513</v>
      </c>
      <c r="E727" s="1">
        <v>46220.716874965277</v>
      </c>
      <c r="F727">
        <v>115</v>
      </c>
      <c r="G727">
        <v>3</v>
      </c>
      <c r="H727" t="s">
        <v>4</v>
      </c>
      <c r="I727" t="s">
        <v>5</v>
      </c>
      <c r="J727" t="s">
        <v>6</v>
      </c>
      <c r="K727">
        <v>24040801</v>
      </c>
      <c r="L727">
        <v>40605</v>
      </c>
      <c r="M727">
        <v>13329.74</v>
      </c>
      <c r="N727" t="s">
        <v>7</v>
      </c>
      <c r="O727">
        <v>172026.88</v>
      </c>
      <c r="P727" t="s">
        <v>147</v>
      </c>
      <c r="Q727" t="s">
        <v>8</v>
      </c>
      <c r="R727">
        <v>128132131</v>
      </c>
      <c r="S727">
        <v>128132131</v>
      </c>
      <c r="T727">
        <v>128132131</v>
      </c>
      <c r="U727" t="s">
        <v>148</v>
      </c>
      <c r="V727" t="s">
        <v>9</v>
      </c>
    </row>
    <row r="728" spans="1:22" x14ac:dyDescent="0.25">
      <c r="A728">
        <v>41473974572</v>
      </c>
      <c r="B728" t="s">
        <v>10</v>
      </c>
      <c r="C728" t="s">
        <v>42</v>
      </c>
      <c r="D728">
        <v>41473974572</v>
      </c>
      <c r="E728" s="1">
        <v>46220.77032113426</v>
      </c>
      <c r="F728">
        <v>115</v>
      </c>
      <c r="G728">
        <v>3</v>
      </c>
      <c r="H728" t="s">
        <v>4</v>
      </c>
      <c r="I728" t="s">
        <v>5</v>
      </c>
      <c r="J728" t="s">
        <v>6</v>
      </c>
      <c r="K728">
        <v>63246516</v>
      </c>
      <c r="L728">
        <v>608407</v>
      </c>
      <c r="M728">
        <v>90000</v>
      </c>
      <c r="N728" t="s">
        <v>7</v>
      </c>
      <c r="O728">
        <v>1161494.57</v>
      </c>
      <c r="P728" t="s">
        <v>94</v>
      </c>
      <c r="Q728" t="s">
        <v>8</v>
      </c>
      <c r="R728">
        <v>123075137</v>
      </c>
      <c r="S728">
        <v>123075137</v>
      </c>
      <c r="T728">
        <v>123075137</v>
      </c>
      <c r="U728" t="s">
        <v>95</v>
      </c>
      <c r="V728" t="s">
        <v>9</v>
      </c>
    </row>
    <row r="729" spans="1:22" x14ac:dyDescent="0.25">
      <c r="A729">
        <v>41473974572</v>
      </c>
      <c r="B729" t="s">
        <v>10</v>
      </c>
      <c r="C729" t="s">
        <v>168</v>
      </c>
      <c r="D729">
        <v>41473974572</v>
      </c>
      <c r="E729" s="1">
        <v>46220.77032113426</v>
      </c>
      <c r="F729">
        <v>115</v>
      </c>
      <c r="G729">
        <v>3</v>
      </c>
      <c r="H729" t="s">
        <v>4</v>
      </c>
      <c r="I729" t="s">
        <v>5</v>
      </c>
      <c r="J729" t="s">
        <v>6</v>
      </c>
      <c r="K729">
        <v>63246516</v>
      </c>
      <c r="L729">
        <v>608407</v>
      </c>
      <c r="M729">
        <v>90000</v>
      </c>
      <c r="N729" t="s">
        <v>7</v>
      </c>
      <c r="O729">
        <v>1161494.57</v>
      </c>
      <c r="P729" t="s">
        <v>94</v>
      </c>
      <c r="Q729" t="s">
        <v>8</v>
      </c>
      <c r="R729">
        <v>123075137</v>
      </c>
      <c r="S729">
        <v>123075137</v>
      </c>
      <c r="T729">
        <v>123075137</v>
      </c>
      <c r="U729" t="s">
        <v>95</v>
      </c>
      <c r="V729" t="s">
        <v>9</v>
      </c>
    </row>
    <row r="730" spans="1:22" x14ac:dyDescent="0.25">
      <c r="A730">
        <v>41473974572</v>
      </c>
      <c r="B730" t="s">
        <v>10</v>
      </c>
      <c r="C730" t="s">
        <v>192</v>
      </c>
      <c r="D730">
        <v>41473974572</v>
      </c>
      <c r="E730" s="1">
        <v>46220.77032113426</v>
      </c>
      <c r="F730">
        <v>115</v>
      </c>
      <c r="G730">
        <v>3</v>
      </c>
      <c r="H730" t="s">
        <v>4</v>
      </c>
      <c r="I730" t="s">
        <v>5</v>
      </c>
      <c r="J730" t="s">
        <v>6</v>
      </c>
      <c r="K730">
        <v>63246516</v>
      </c>
      <c r="L730">
        <v>608407</v>
      </c>
      <c r="M730">
        <v>90000</v>
      </c>
      <c r="N730" t="s">
        <v>7</v>
      </c>
      <c r="O730">
        <v>1161494.57</v>
      </c>
      <c r="P730" t="s">
        <v>94</v>
      </c>
      <c r="Q730" t="s">
        <v>8</v>
      </c>
      <c r="R730">
        <v>123075137</v>
      </c>
      <c r="S730">
        <v>123075137</v>
      </c>
      <c r="T730">
        <v>123075137</v>
      </c>
      <c r="U730" t="s">
        <v>95</v>
      </c>
      <c r="V730" t="s">
        <v>9</v>
      </c>
    </row>
    <row r="731" spans="1:22" x14ac:dyDescent="0.25">
      <c r="A731">
        <v>41473974572</v>
      </c>
      <c r="B731" t="s">
        <v>10</v>
      </c>
      <c r="C731" t="s">
        <v>193</v>
      </c>
      <c r="D731">
        <v>41473974572</v>
      </c>
      <c r="E731" s="1">
        <v>46220.77032113426</v>
      </c>
      <c r="F731">
        <v>115</v>
      </c>
      <c r="G731">
        <v>3</v>
      </c>
      <c r="H731" t="s">
        <v>4</v>
      </c>
      <c r="I731" t="s">
        <v>5</v>
      </c>
      <c r="J731" t="s">
        <v>6</v>
      </c>
      <c r="K731">
        <v>63246516</v>
      </c>
      <c r="L731">
        <v>608407</v>
      </c>
      <c r="M731">
        <v>90000</v>
      </c>
      <c r="N731" t="s">
        <v>7</v>
      </c>
      <c r="O731">
        <v>1161494.57</v>
      </c>
      <c r="P731" t="s">
        <v>94</v>
      </c>
      <c r="Q731" t="s">
        <v>8</v>
      </c>
      <c r="R731">
        <v>123075137</v>
      </c>
      <c r="S731">
        <v>123075137</v>
      </c>
      <c r="T731">
        <v>123075137</v>
      </c>
      <c r="U731" t="s">
        <v>95</v>
      </c>
      <c r="V731" t="s">
        <v>9</v>
      </c>
    </row>
    <row r="732" spans="1:22" x14ac:dyDescent="0.25">
      <c r="A732">
        <v>41474001223</v>
      </c>
      <c r="B732" t="s">
        <v>106</v>
      </c>
      <c r="C732" t="s">
        <v>128</v>
      </c>
      <c r="D732">
        <v>41474001223</v>
      </c>
      <c r="E732" s="1">
        <v>46220.782353946757</v>
      </c>
      <c r="F732">
        <v>69</v>
      </c>
      <c r="G732">
        <v>3</v>
      </c>
      <c r="H732" t="s">
        <v>91</v>
      </c>
      <c r="I732" t="s">
        <v>5</v>
      </c>
      <c r="J732" t="s">
        <v>6</v>
      </c>
      <c r="K732">
        <v>10030747</v>
      </c>
      <c r="L732">
        <v>161923</v>
      </c>
      <c r="M732">
        <v>250000</v>
      </c>
      <c r="N732" t="s">
        <v>7</v>
      </c>
      <c r="O732">
        <v>3226373.98</v>
      </c>
      <c r="P732" t="s">
        <v>146</v>
      </c>
      <c r="Q732" t="s">
        <v>8</v>
      </c>
      <c r="R732">
        <v>107560732</v>
      </c>
      <c r="S732">
        <v>107560732</v>
      </c>
      <c r="T732">
        <v>107560732</v>
      </c>
      <c r="U732" t="s">
        <v>93</v>
      </c>
      <c r="V732" t="s">
        <v>9</v>
      </c>
    </row>
    <row r="733" spans="1:22" x14ac:dyDescent="0.25">
      <c r="A733">
        <v>41474001223</v>
      </c>
      <c r="B733" t="s">
        <v>106</v>
      </c>
      <c r="C733" t="s">
        <v>159</v>
      </c>
      <c r="D733">
        <v>41474001223</v>
      </c>
      <c r="E733" s="1">
        <v>46220.782353946757</v>
      </c>
      <c r="F733">
        <v>69</v>
      </c>
      <c r="G733">
        <v>3</v>
      </c>
      <c r="H733" t="s">
        <v>91</v>
      </c>
      <c r="I733" t="s">
        <v>5</v>
      </c>
      <c r="J733" t="s">
        <v>6</v>
      </c>
      <c r="K733">
        <v>10030747</v>
      </c>
      <c r="L733">
        <v>161923</v>
      </c>
      <c r="M733">
        <v>250000</v>
      </c>
      <c r="N733" t="s">
        <v>7</v>
      </c>
      <c r="O733">
        <v>3226373.98</v>
      </c>
      <c r="P733" t="s">
        <v>146</v>
      </c>
      <c r="Q733" t="s">
        <v>8</v>
      </c>
      <c r="R733">
        <v>107560732</v>
      </c>
      <c r="S733">
        <v>107560732</v>
      </c>
      <c r="T733">
        <v>107560732</v>
      </c>
      <c r="U733" t="s">
        <v>93</v>
      </c>
      <c r="V733" t="s">
        <v>9</v>
      </c>
    </row>
    <row r="734" spans="1:22" x14ac:dyDescent="0.25">
      <c r="A734">
        <v>41474001223</v>
      </c>
      <c r="B734" t="s">
        <v>106</v>
      </c>
      <c r="C734" t="s">
        <v>193</v>
      </c>
      <c r="D734">
        <v>41474001223</v>
      </c>
      <c r="E734" s="1">
        <v>46220.782353946757</v>
      </c>
      <c r="F734">
        <v>69</v>
      </c>
      <c r="G734">
        <v>3</v>
      </c>
      <c r="H734" t="s">
        <v>91</v>
      </c>
      <c r="I734" t="s">
        <v>5</v>
      </c>
      <c r="J734" t="s">
        <v>6</v>
      </c>
      <c r="K734">
        <v>10030747</v>
      </c>
      <c r="L734">
        <v>161923</v>
      </c>
      <c r="M734">
        <v>250000</v>
      </c>
      <c r="N734" t="s">
        <v>7</v>
      </c>
      <c r="O734">
        <v>3226373.98</v>
      </c>
      <c r="P734" t="s">
        <v>146</v>
      </c>
      <c r="Q734" t="s">
        <v>8</v>
      </c>
      <c r="R734">
        <v>107560732</v>
      </c>
      <c r="S734">
        <v>107560732</v>
      </c>
      <c r="T734">
        <v>107560732</v>
      </c>
      <c r="U734" t="s">
        <v>93</v>
      </c>
      <c r="V734" t="s">
        <v>9</v>
      </c>
    </row>
    <row r="735" spans="1:22" x14ac:dyDescent="0.25">
      <c r="A735">
        <v>41474001223</v>
      </c>
      <c r="B735" t="s">
        <v>106</v>
      </c>
      <c r="C735" t="s">
        <v>232</v>
      </c>
      <c r="D735">
        <v>41474001223</v>
      </c>
      <c r="E735" s="1">
        <v>46220.782353946757</v>
      </c>
      <c r="F735">
        <v>69</v>
      </c>
      <c r="G735">
        <v>3</v>
      </c>
      <c r="H735" t="s">
        <v>91</v>
      </c>
      <c r="I735" t="s">
        <v>5</v>
      </c>
      <c r="J735" t="s">
        <v>6</v>
      </c>
      <c r="K735">
        <v>10030747</v>
      </c>
      <c r="L735">
        <v>161923</v>
      </c>
      <c r="M735">
        <v>250000</v>
      </c>
      <c r="N735" t="s">
        <v>7</v>
      </c>
      <c r="O735">
        <v>3226373.98</v>
      </c>
      <c r="P735" t="s">
        <v>146</v>
      </c>
      <c r="Q735" t="s">
        <v>8</v>
      </c>
      <c r="R735">
        <v>107560732</v>
      </c>
      <c r="S735">
        <v>107560732</v>
      </c>
      <c r="T735">
        <v>107560732</v>
      </c>
      <c r="U735" t="s">
        <v>93</v>
      </c>
      <c r="V735" t="s">
        <v>9</v>
      </c>
    </row>
    <row r="736" spans="1:22" x14ac:dyDescent="0.25">
      <c r="A736">
        <v>41475226924</v>
      </c>
      <c r="B736" t="s">
        <v>10</v>
      </c>
      <c r="C736" t="s">
        <v>185</v>
      </c>
      <c r="D736">
        <v>41475226924</v>
      </c>
      <c r="E736" s="1">
        <v>46221.686187812498</v>
      </c>
      <c r="F736">
        <v>115</v>
      </c>
      <c r="G736">
        <v>3</v>
      </c>
      <c r="H736" t="s">
        <v>4</v>
      </c>
      <c r="I736" t="s">
        <v>5</v>
      </c>
      <c r="J736" t="s">
        <v>6</v>
      </c>
      <c r="K736">
        <v>24510889</v>
      </c>
      <c r="L736">
        <v>230163</v>
      </c>
      <c r="M736">
        <v>10000</v>
      </c>
      <c r="N736" t="s">
        <v>7</v>
      </c>
      <c r="O736">
        <v>129054.96</v>
      </c>
      <c r="P736" t="s">
        <v>188</v>
      </c>
      <c r="Q736" t="s">
        <v>8</v>
      </c>
      <c r="R736">
        <v>115686289</v>
      </c>
      <c r="S736">
        <v>115686289</v>
      </c>
      <c r="T736">
        <v>115686289</v>
      </c>
      <c r="U736" t="s">
        <v>189</v>
      </c>
      <c r="V736" t="s">
        <v>15</v>
      </c>
    </row>
    <row r="737" spans="1:22" x14ac:dyDescent="0.25">
      <c r="A737">
        <v>41475226924</v>
      </c>
      <c r="B737" t="s">
        <v>10</v>
      </c>
      <c r="C737" t="s">
        <v>191</v>
      </c>
      <c r="D737">
        <v>41475226924</v>
      </c>
      <c r="E737" s="1">
        <v>46221.686187812498</v>
      </c>
      <c r="F737">
        <v>115</v>
      </c>
      <c r="G737">
        <v>3</v>
      </c>
      <c r="H737" t="s">
        <v>4</v>
      </c>
      <c r="I737" t="s">
        <v>5</v>
      </c>
      <c r="J737" t="s">
        <v>6</v>
      </c>
      <c r="K737">
        <v>24510889</v>
      </c>
      <c r="L737">
        <v>230163</v>
      </c>
      <c r="M737">
        <v>10000</v>
      </c>
      <c r="N737" t="s">
        <v>7</v>
      </c>
      <c r="O737">
        <v>129054.96</v>
      </c>
      <c r="P737" t="s">
        <v>188</v>
      </c>
      <c r="Q737" t="s">
        <v>8</v>
      </c>
      <c r="R737">
        <v>115686289</v>
      </c>
      <c r="S737">
        <v>115686289</v>
      </c>
      <c r="T737">
        <v>115686289</v>
      </c>
      <c r="U737" t="s">
        <v>189</v>
      </c>
      <c r="V737" t="s">
        <v>15</v>
      </c>
    </row>
    <row r="738" spans="1:22" x14ac:dyDescent="0.25">
      <c r="A738">
        <v>41475226924</v>
      </c>
      <c r="B738" t="s">
        <v>10</v>
      </c>
      <c r="C738" t="s">
        <v>193</v>
      </c>
      <c r="D738">
        <v>41475226924</v>
      </c>
      <c r="E738" s="1">
        <v>46221.686187812498</v>
      </c>
      <c r="F738">
        <v>115</v>
      </c>
      <c r="G738">
        <v>3</v>
      </c>
      <c r="H738" t="s">
        <v>4</v>
      </c>
      <c r="I738" t="s">
        <v>5</v>
      </c>
      <c r="J738" t="s">
        <v>6</v>
      </c>
      <c r="K738">
        <v>24510889</v>
      </c>
      <c r="L738">
        <v>230163</v>
      </c>
      <c r="M738">
        <v>10000</v>
      </c>
      <c r="N738" t="s">
        <v>7</v>
      </c>
      <c r="O738">
        <v>129054.96</v>
      </c>
      <c r="P738" t="s">
        <v>188</v>
      </c>
      <c r="Q738" t="s">
        <v>8</v>
      </c>
      <c r="R738">
        <v>115686289</v>
      </c>
      <c r="S738">
        <v>115686289</v>
      </c>
      <c r="T738">
        <v>115686289</v>
      </c>
      <c r="U738" t="s">
        <v>189</v>
      </c>
      <c r="V738" t="s">
        <v>15</v>
      </c>
    </row>
    <row r="739" spans="1:22" x14ac:dyDescent="0.25">
      <c r="A739">
        <v>41478263799</v>
      </c>
      <c r="B739" t="s">
        <v>10</v>
      </c>
      <c r="C739" t="s">
        <v>193</v>
      </c>
      <c r="D739">
        <v>41478263799</v>
      </c>
      <c r="E739" s="1">
        <v>46223.716971319445</v>
      </c>
      <c r="F739">
        <v>115</v>
      </c>
      <c r="G739">
        <v>3</v>
      </c>
      <c r="H739" t="s">
        <v>224</v>
      </c>
      <c r="I739" t="s">
        <v>5</v>
      </c>
      <c r="J739" t="s">
        <v>6</v>
      </c>
      <c r="K739">
        <v>10273093</v>
      </c>
      <c r="L739">
        <v>160039</v>
      </c>
      <c r="M739">
        <v>30000</v>
      </c>
      <c r="N739" t="s">
        <v>7</v>
      </c>
      <c r="O739">
        <v>389545.21</v>
      </c>
      <c r="P739" t="s">
        <v>225</v>
      </c>
      <c r="Q739" t="s">
        <v>8</v>
      </c>
      <c r="R739">
        <v>112593520</v>
      </c>
      <c r="S739">
        <v>112593520</v>
      </c>
      <c r="T739">
        <v>112593520</v>
      </c>
      <c r="U739" t="s">
        <v>226</v>
      </c>
      <c r="V739" t="s">
        <v>9</v>
      </c>
    </row>
    <row r="740" spans="1:22" x14ac:dyDescent="0.25">
      <c r="A740">
        <v>41478879309</v>
      </c>
      <c r="B740" t="s">
        <v>10</v>
      </c>
      <c r="C740" t="s">
        <v>193</v>
      </c>
      <c r="D740">
        <v>41478879309</v>
      </c>
      <c r="E740" s="1">
        <v>46224.310119525464</v>
      </c>
      <c r="F740">
        <v>115</v>
      </c>
      <c r="G740">
        <v>3</v>
      </c>
      <c r="H740" t="s">
        <v>4</v>
      </c>
      <c r="I740" t="s">
        <v>5</v>
      </c>
      <c r="J740" t="s">
        <v>6</v>
      </c>
      <c r="K740">
        <v>52566295</v>
      </c>
      <c r="L740">
        <v>406301</v>
      </c>
      <c r="M740">
        <v>10000</v>
      </c>
      <c r="N740" t="s">
        <v>7</v>
      </c>
      <c r="O740">
        <v>129848.44</v>
      </c>
      <c r="P740" t="s">
        <v>227</v>
      </c>
      <c r="Q740" t="s">
        <v>11</v>
      </c>
      <c r="R740">
        <v>117666032</v>
      </c>
      <c r="S740">
        <v>117666032</v>
      </c>
      <c r="T740">
        <v>117666032</v>
      </c>
      <c r="U740" t="s">
        <v>228</v>
      </c>
      <c r="V740" t="s">
        <v>63</v>
      </c>
    </row>
    <row r="741" spans="1:22" x14ac:dyDescent="0.25">
      <c r="A741">
        <v>41478880110</v>
      </c>
      <c r="B741" t="s">
        <v>10</v>
      </c>
      <c r="C741" t="s">
        <v>193</v>
      </c>
      <c r="D741">
        <v>41478880110</v>
      </c>
      <c r="E741" s="1">
        <v>46224.311177662035</v>
      </c>
      <c r="F741">
        <v>115</v>
      </c>
      <c r="G741">
        <v>3</v>
      </c>
      <c r="H741" t="s">
        <v>4</v>
      </c>
      <c r="I741" t="s">
        <v>5</v>
      </c>
      <c r="J741" t="s">
        <v>6</v>
      </c>
      <c r="K741">
        <v>52565298</v>
      </c>
      <c r="L741">
        <v>406301</v>
      </c>
      <c r="M741">
        <v>10000</v>
      </c>
      <c r="N741" t="s">
        <v>7</v>
      </c>
      <c r="O741">
        <v>129848.44</v>
      </c>
      <c r="P741" t="s">
        <v>229</v>
      </c>
      <c r="Q741" t="s">
        <v>11</v>
      </c>
      <c r="R741">
        <v>117666032</v>
      </c>
      <c r="S741">
        <v>117666032</v>
      </c>
      <c r="T741">
        <v>117666032</v>
      </c>
      <c r="U741" t="s">
        <v>228</v>
      </c>
      <c r="V741" t="s">
        <v>63</v>
      </c>
    </row>
    <row r="742" spans="1:22" x14ac:dyDescent="0.25">
      <c r="A742">
        <v>41479117936</v>
      </c>
      <c r="B742" t="s">
        <v>10</v>
      </c>
      <c r="C742" t="s">
        <v>42</v>
      </c>
      <c r="D742">
        <v>41479117936</v>
      </c>
      <c r="E742" s="1">
        <v>46224.434061215281</v>
      </c>
      <c r="F742">
        <v>115</v>
      </c>
      <c r="G742">
        <v>3</v>
      </c>
      <c r="H742" t="s">
        <v>102</v>
      </c>
      <c r="I742" t="s">
        <v>5</v>
      </c>
      <c r="J742" t="s">
        <v>6</v>
      </c>
      <c r="K742">
        <v>13228536</v>
      </c>
      <c r="L742">
        <v>89103</v>
      </c>
      <c r="M742">
        <v>20000</v>
      </c>
      <c r="N742" t="s">
        <v>7</v>
      </c>
      <c r="O742">
        <v>259696.78</v>
      </c>
      <c r="P742" t="s">
        <v>103</v>
      </c>
      <c r="Q742" t="s">
        <v>11</v>
      </c>
      <c r="R742">
        <v>115108789</v>
      </c>
      <c r="S742">
        <v>115108789</v>
      </c>
      <c r="T742">
        <v>115108789</v>
      </c>
      <c r="U742" t="s">
        <v>104</v>
      </c>
      <c r="V742" t="s">
        <v>105</v>
      </c>
    </row>
    <row r="743" spans="1:22" x14ac:dyDescent="0.25">
      <c r="A743">
        <v>41479117936</v>
      </c>
      <c r="B743" t="s">
        <v>10</v>
      </c>
      <c r="C743" t="s">
        <v>193</v>
      </c>
      <c r="D743">
        <v>41479117936</v>
      </c>
      <c r="E743" s="1">
        <v>46224.434061215281</v>
      </c>
      <c r="F743">
        <v>115</v>
      </c>
      <c r="G743">
        <v>3</v>
      </c>
      <c r="H743" t="s">
        <v>102</v>
      </c>
      <c r="I743" t="s">
        <v>5</v>
      </c>
      <c r="J743" t="s">
        <v>6</v>
      </c>
      <c r="K743">
        <v>13228536</v>
      </c>
      <c r="L743">
        <v>89103</v>
      </c>
      <c r="M743">
        <v>20000</v>
      </c>
      <c r="N743" t="s">
        <v>7</v>
      </c>
      <c r="O743">
        <v>259696.78</v>
      </c>
      <c r="P743" t="s">
        <v>103</v>
      </c>
      <c r="Q743" t="s">
        <v>11</v>
      </c>
      <c r="R743">
        <v>115108789</v>
      </c>
      <c r="S743">
        <v>115108789</v>
      </c>
      <c r="T743">
        <v>115108789</v>
      </c>
      <c r="U743" t="s">
        <v>104</v>
      </c>
      <c r="V743" t="s">
        <v>105</v>
      </c>
    </row>
    <row r="744" spans="1:22" x14ac:dyDescent="0.25">
      <c r="A744">
        <v>41479518456</v>
      </c>
      <c r="B744" t="s">
        <v>10</v>
      </c>
      <c r="C744" t="s">
        <v>159</v>
      </c>
      <c r="D744">
        <v>41479518456</v>
      </c>
      <c r="E744" s="1">
        <v>46224.569612673607</v>
      </c>
      <c r="F744">
        <v>69</v>
      </c>
      <c r="G744">
        <v>3</v>
      </c>
      <c r="H744" t="s">
        <v>143</v>
      </c>
      <c r="I744" t="s">
        <v>5</v>
      </c>
      <c r="J744" t="s">
        <v>6</v>
      </c>
      <c r="K744">
        <v>24993780</v>
      </c>
      <c r="L744">
        <v>403232</v>
      </c>
      <c r="M744">
        <v>690000</v>
      </c>
      <c r="N744" t="s">
        <v>7</v>
      </c>
      <c r="O744">
        <v>8959539.5399999991</v>
      </c>
      <c r="P744" t="s">
        <v>164</v>
      </c>
      <c r="Q744" t="s">
        <v>8</v>
      </c>
      <c r="R744">
        <v>105434856</v>
      </c>
      <c r="S744">
        <v>105434856</v>
      </c>
      <c r="T744">
        <v>105434856</v>
      </c>
      <c r="U744" t="s">
        <v>165</v>
      </c>
      <c r="V744" t="s">
        <v>47</v>
      </c>
    </row>
    <row r="745" spans="1:22" x14ac:dyDescent="0.25">
      <c r="A745">
        <v>41479518456</v>
      </c>
      <c r="B745" t="s">
        <v>10</v>
      </c>
      <c r="C745" t="s">
        <v>193</v>
      </c>
      <c r="D745">
        <v>41479518456</v>
      </c>
      <c r="E745" s="1">
        <v>46224.569612673607</v>
      </c>
      <c r="F745">
        <v>69</v>
      </c>
      <c r="G745">
        <v>3</v>
      </c>
      <c r="H745" t="s">
        <v>143</v>
      </c>
      <c r="I745" t="s">
        <v>5</v>
      </c>
      <c r="J745" t="s">
        <v>6</v>
      </c>
      <c r="K745">
        <v>24993780</v>
      </c>
      <c r="L745">
        <v>403232</v>
      </c>
      <c r="M745">
        <v>690000</v>
      </c>
      <c r="N745" t="s">
        <v>7</v>
      </c>
      <c r="O745">
        <v>8959539.5399999991</v>
      </c>
      <c r="P745" t="s">
        <v>164</v>
      </c>
      <c r="Q745" t="s">
        <v>8</v>
      </c>
      <c r="R745">
        <v>105434856</v>
      </c>
      <c r="S745">
        <v>105434856</v>
      </c>
      <c r="T745">
        <v>105434856</v>
      </c>
      <c r="U745" t="s">
        <v>165</v>
      </c>
      <c r="V745" t="s">
        <v>47</v>
      </c>
    </row>
    <row r="746" spans="1:22" x14ac:dyDescent="0.25">
      <c r="A746">
        <v>41479581129</v>
      </c>
      <c r="B746" t="s">
        <v>10</v>
      </c>
      <c r="C746" t="s">
        <v>125</v>
      </c>
      <c r="D746">
        <v>41479581129</v>
      </c>
      <c r="E746" s="1">
        <v>46224.589946030093</v>
      </c>
      <c r="F746">
        <v>69</v>
      </c>
      <c r="G746">
        <v>3</v>
      </c>
      <c r="H746" t="s">
        <v>4</v>
      </c>
      <c r="I746" t="s">
        <v>5</v>
      </c>
      <c r="J746" t="s">
        <v>6</v>
      </c>
      <c r="K746">
        <v>31682626</v>
      </c>
      <c r="L746">
        <v>40075</v>
      </c>
      <c r="M746">
        <v>1280000</v>
      </c>
      <c r="N746" t="s">
        <v>7</v>
      </c>
      <c r="O746">
        <v>16620595.1</v>
      </c>
      <c r="P746" t="s">
        <v>127</v>
      </c>
      <c r="Q746" t="s">
        <v>8</v>
      </c>
      <c r="R746">
        <v>113290936</v>
      </c>
      <c r="S746">
        <v>113290936</v>
      </c>
      <c r="T746">
        <v>113290936</v>
      </c>
      <c r="U746" t="s">
        <v>41</v>
      </c>
      <c r="V746" t="s">
        <v>9</v>
      </c>
    </row>
    <row r="747" spans="1:22" x14ac:dyDescent="0.25">
      <c r="A747">
        <v>41479581129</v>
      </c>
      <c r="B747" t="s">
        <v>10</v>
      </c>
      <c r="C747" t="s">
        <v>167</v>
      </c>
      <c r="D747">
        <v>41479581129</v>
      </c>
      <c r="E747" s="1">
        <v>46224.589946030093</v>
      </c>
      <c r="F747">
        <v>69</v>
      </c>
      <c r="G747">
        <v>3</v>
      </c>
      <c r="H747" t="s">
        <v>4</v>
      </c>
      <c r="I747" t="s">
        <v>5</v>
      </c>
      <c r="J747" t="s">
        <v>6</v>
      </c>
      <c r="K747">
        <v>31682626</v>
      </c>
      <c r="L747">
        <v>40075</v>
      </c>
      <c r="M747">
        <v>1280000</v>
      </c>
      <c r="N747" t="s">
        <v>7</v>
      </c>
      <c r="O747">
        <v>16620595.1</v>
      </c>
      <c r="P747" t="s">
        <v>127</v>
      </c>
      <c r="Q747" t="s">
        <v>8</v>
      </c>
      <c r="R747">
        <v>113290936</v>
      </c>
      <c r="S747">
        <v>113290936</v>
      </c>
      <c r="T747">
        <v>113290936</v>
      </c>
      <c r="U747" t="s">
        <v>41</v>
      </c>
      <c r="V747" t="s">
        <v>9</v>
      </c>
    </row>
    <row r="748" spans="1:22" x14ac:dyDescent="0.25">
      <c r="A748">
        <v>41479581129</v>
      </c>
      <c r="B748" t="s">
        <v>10</v>
      </c>
      <c r="C748" t="s">
        <v>193</v>
      </c>
      <c r="D748">
        <v>41479581129</v>
      </c>
      <c r="E748" s="1">
        <v>46224.589946030093</v>
      </c>
      <c r="F748">
        <v>69</v>
      </c>
      <c r="G748">
        <v>3</v>
      </c>
      <c r="H748" t="s">
        <v>4</v>
      </c>
      <c r="I748" t="s">
        <v>5</v>
      </c>
      <c r="J748" t="s">
        <v>6</v>
      </c>
      <c r="K748">
        <v>31682626</v>
      </c>
      <c r="L748">
        <v>40075</v>
      </c>
      <c r="M748">
        <v>1280000</v>
      </c>
      <c r="N748" t="s">
        <v>7</v>
      </c>
      <c r="O748">
        <v>16620595.1</v>
      </c>
      <c r="P748" t="s">
        <v>127</v>
      </c>
      <c r="Q748" t="s">
        <v>8</v>
      </c>
      <c r="R748">
        <v>113290936</v>
      </c>
      <c r="S748">
        <v>113290936</v>
      </c>
      <c r="T748">
        <v>113290936</v>
      </c>
      <c r="U748" t="s">
        <v>41</v>
      </c>
      <c r="V748" t="s">
        <v>9</v>
      </c>
    </row>
    <row r="749" spans="1:22" x14ac:dyDescent="0.25">
      <c r="A749">
        <v>41479581129</v>
      </c>
      <c r="B749" t="s">
        <v>10</v>
      </c>
      <c r="C749" t="s">
        <v>232</v>
      </c>
      <c r="D749">
        <v>41479581129</v>
      </c>
      <c r="E749" s="1">
        <v>46224.589946030093</v>
      </c>
      <c r="F749">
        <v>69</v>
      </c>
      <c r="G749">
        <v>3</v>
      </c>
      <c r="H749" t="s">
        <v>4</v>
      </c>
      <c r="I749" t="s">
        <v>5</v>
      </c>
      <c r="J749" t="s">
        <v>6</v>
      </c>
      <c r="K749">
        <v>31682626</v>
      </c>
      <c r="L749">
        <v>40075</v>
      </c>
      <c r="M749">
        <v>1280000</v>
      </c>
      <c r="N749" t="s">
        <v>7</v>
      </c>
      <c r="O749">
        <v>16620595.1</v>
      </c>
      <c r="P749" t="s">
        <v>127</v>
      </c>
      <c r="Q749" t="s">
        <v>8</v>
      </c>
      <c r="R749">
        <v>113290936</v>
      </c>
      <c r="S749">
        <v>113290936</v>
      </c>
      <c r="T749">
        <v>113290936</v>
      </c>
      <c r="U749" t="s">
        <v>41</v>
      </c>
      <c r="V749" t="s">
        <v>9</v>
      </c>
    </row>
    <row r="750" spans="1:22" x14ac:dyDescent="0.25">
      <c r="A750">
        <v>41480028554</v>
      </c>
      <c r="B750" t="s">
        <v>10</v>
      </c>
      <c r="C750" t="s">
        <v>42</v>
      </c>
      <c r="D750">
        <v>41480028554</v>
      </c>
      <c r="E750" s="1">
        <v>46224.750596863429</v>
      </c>
      <c r="F750">
        <v>115</v>
      </c>
      <c r="G750">
        <v>3</v>
      </c>
      <c r="H750" t="s">
        <v>4</v>
      </c>
      <c r="I750" t="s">
        <v>5</v>
      </c>
      <c r="J750" t="s">
        <v>6</v>
      </c>
      <c r="K750">
        <v>58200138</v>
      </c>
      <c r="L750">
        <v>608407</v>
      </c>
      <c r="M750">
        <v>50000</v>
      </c>
      <c r="N750" t="s">
        <v>7</v>
      </c>
      <c r="O750">
        <v>649241.99</v>
      </c>
      <c r="P750" t="s">
        <v>100</v>
      </c>
      <c r="Q750" t="s">
        <v>8</v>
      </c>
      <c r="R750">
        <v>105353056</v>
      </c>
      <c r="S750">
        <v>105353056</v>
      </c>
      <c r="T750">
        <v>105353056</v>
      </c>
      <c r="U750" t="s">
        <v>101</v>
      </c>
      <c r="V750" t="s">
        <v>9</v>
      </c>
    </row>
    <row r="751" spans="1:22" x14ac:dyDescent="0.25">
      <c r="A751">
        <v>41480028554</v>
      </c>
      <c r="B751" t="s">
        <v>10</v>
      </c>
      <c r="C751" t="s">
        <v>128</v>
      </c>
      <c r="D751">
        <v>41480028554</v>
      </c>
      <c r="E751" s="1">
        <v>46224.750596863429</v>
      </c>
      <c r="F751">
        <v>115</v>
      </c>
      <c r="G751">
        <v>3</v>
      </c>
      <c r="H751" t="s">
        <v>4</v>
      </c>
      <c r="I751" t="s">
        <v>5</v>
      </c>
      <c r="J751" t="s">
        <v>6</v>
      </c>
      <c r="K751">
        <v>58200138</v>
      </c>
      <c r="L751">
        <v>608407</v>
      </c>
      <c r="M751">
        <v>50000</v>
      </c>
      <c r="N751" t="s">
        <v>7</v>
      </c>
      <c r="O751">
        <v>649241.99</v>
      </c>
      <c r="P751" t="s">
        <v>100</v>
      </c>
      <c r="Q751" t="s">
        <v>8</v>
      </c>
      <c r="R751">
        <v>105353056</v>
      </c>
      <c r="S751">
        <v>105353056</v>
      </c>
      <c r="T751">
        <v>105353056</v>
      </c>
      <c r="U751" t="s">
        <v>101</v>
      </c>
      <c r="V751" t="s">
        <v>9</v>
      </c>
    </row>
    <row r="752" spans="1:22" x14ac:dyDescent="0.25">
      <c r="A752">
        <v>41480028554</v>
      </c>
      <c r="B752" t="s">
        <v>10</v>
      </c>
      <c r="C752" t="s">
        <v>168</v>
      </c>
      <c r="D752">
        <v>41480028554</v>
      </c>
      <c r="E752" s="1">
        <v>46224.750596863429</v>
      </c>
      <c r="F752">
        <v>115</v>
      </c>
      <c r="G752">
        <v>3</v>
      </c>
      <c r="H752" t="s">
        <v>4</v>
      </c>
      <c r="I752" t="s">
        <v>5</v>
      </c>
      <c r="J752" t="s">
        <v>6</v>
      </c>
      <c r="K752">
        <v>58200138</v>
      </c>
      <c r="L752">
        <v>608407</v>
      </c>
      <c r="M752">
        <v>50000</v>
      </c>
      <c r="N752" t="s">
        <v>7</v>
      </c>
      <c r="O752">
        <v>649241.99</v>
      </c>
      <c r="P752" t="s">
        <v>100</v>
      </c>
      <c r="Q752" t="s">
        <v>8</v>
      </c>
      <c r="R752">
        <v>105353056</v>
      </c>
      <c r="S752">
        <v>105353056</v>
      </c>
      <c r="T752">
        <v>105353056</v>
      </c>
      <c r="U752" t="s">
        <v>101</v>
      </c>
      <c r="V752" t="s">
        <v>9</v>
      </c>
    </row>
    <row r="753" spans="1:22" x14ac:dyDescent="0.25">
      <c r="A753">
        <v>41480028554</v>
      </c>
      <c r="B753" t="s">
        <v>10</v>
      </c>
      <c r="C753" t="s">
        <v>185</v>
      </c>
      <c r="D753">
        <v>41480028554</v>
      </c>
      <c r="E753" s="1">
        <v>46224.750596863429</v>
      </c>
      <c r="F753">
        <v>115</v>
      </c>
      <c r="G753">
        <v>3</v>
      </c>
      <c r="H753" t="s">
        <v>4</v>
      </c>
      <c r="I753" t="s">
        <v>5</v>
      </c>
      <c r="J753" t="s">
        <v>6</v>
      </c>
      <c r="K753">
        <v>58200138</v>
      </c>
      <c r="L753">
        <v>608407</v>
      </c>
      <c r="M753">
        <v>50000</v>
      </c>
      <c r="N753" t="s">
        <v>7</v>
      </c>
      <c r="O753">
        <v>649241.99</v>
      </c>
      <c r="P753" t="s">
        <v>100</v>
      </c>
      <c r="Q753" t="s">
        <v>8</v>
      </c>
      <c r="R753">
        <v>105353056</v>
      </c>
      <c r="S753">
        <v>105353056</v>
      </c>
      <c r="T753">
        <v>105353056</v>
      </c>
      <c r="U753" t="s">
        <v>101</v>
      </c>
      <c r="V753" t="s">
        <v>9</v>
      </c>
    </row>
    <row r="754" spans="1:22" x14ac:dyDescent="0.25">
      <c r="A754">
        <v>41480028554</v>
      </c>
      <c r="B754" t="s">
        <v>10</v>
      </c>
      <c r="C754" t="s">
        <v>192</v>
      </c>
      <c r="D754">
        <v>41480028554</v>
      </c>
      <c r="E754" s="1">
        <v>46224.750596863429</v>
      </c>
      <c r="F754">
        <v>115</v>
      </c>
      <c r="G754">
        <v>3</v>
      </c>
      <c r="H754" t="s">
        <v>4</v>
      </c>
      <c r="I754" t="s">
        <v>5</v>
      </c>
      <c r="J754" t="s">
        <v>6</v>
      </c>
      <c r="K754">
        <v>58200138</v>
      </c>
      <c r="L754">
        <v>608407</v>
      </c>
      <c r="M754">
        <v>50000</v>
      </c>
      <c r="N754" t="s">
        <v>7</v>
      </c>
      <c r="O754">
        <v>649241.99</v>
      </c>
      <c r="P754" t="s">
        <v>100</v>
      </c>
      <c r="Q754" t="s">
        <v>8</v>
      </c>
      <c r="R754">
        <v>105353056</v>
      </c>
      <c r="S754">
        <v>105353056</v>
      </c>
      <c r="T754">
        <v>105353056</v>
      </c>
      <c r="U754" t="s">
        <v>101</v>
      </c>
      <c r="V754" t="s">
        <v>9</v>
      </c>
    </row>
    <row r="755" spans="1:22" x14ac:dyDescent="0.25">
      <c r="A755">
        <v>41480028554</v>
      </c>
      <c r="B755" t="s">
        <v>10</v>
      </c>
      <c r="C755" t="s">
        <v>193</v>
      </c>
      <c r="D755">
        <v>41480028554</v>
      </c>
      <c r="E755" s="1">
        <v>46224.750596863429</v>
      </c>
      <c r="F755">
        <v>115</v>
      </c>
      <c r="G755">
        <v>3</v>
      </c>
      <c r="H755" t="s">
        <v>4</v>
      </c>
      <c r="I755" t="s">
        <v>5</v>
      </c>
      <c r="J755" t="s">
        <v>6</v>
      </c>
      <c r="K755">
        <v>58200138</v>
      </c>
      <c r="L755">
        <v>608407</v>
      </c>
      <c r="M755">
        <v>50000</v>
      </c>
      <c r="N755" t="s">
        <v>7</v>
      </c>
      <c r="O755">
        <v>649241.99</v>
      </c>
      <c r="P755" t="s">
        <v>100</v>
      </c>
      <c r="Q755" t="s">
        <v>8</v>
      </c>
      <c r="R755">
        <v>105353056</v>
      </c>
      <c r="S755">
        <v>105353056</v>
      </c>
      <c r="T755">
        <v>105353056</v>
      </c>
      <c r="U755" t="s">
        <v>101</v>
      </c>
      <c r="V755" t="s">
        <v>9</v>
      </c>
    </row>
    <row r="756" spans="1:22" x14ac:dyDescent="0.25">
      <c r="A756">
        <v>41480028554</v>
      </c>
      <c r="B756" t="s">
        <v>10</v>
      </c>
      <c r="C756" t="s">
        <v>232</v>
      </c>
      <c r="D756">
        <v>41480028554</v>
      </c>
      <c r="E756" s="1">
        <v>46224.750596863429</v>
      </c>
      <c r="F756">
        <v>115</v>
      </c>
      <c r="G756">
        <v>3</v>
      </c>
      <c r="H756" t="s">
        <v>4</v>
      </c>
      <c r="I756" t="s">
        <v>5</v>
      </c>
      <c r="J756" t="s">
        <v>6</v>
      </c>
      <c r="K756">
        <v>58200138</v>
      </c>
      <c r="L756">
        <v>608407</v>
      </c>
      <c r="M756">
        <v>50000</v>
      </c>
      <c r="N756" t="s">
        <v>7</v>
      </c>
      <c r="O756">
        <v>649241.99</v>
      </c>
      <c r="P756" t="s">
        <v>100</v>
      </c>
      <c r="Q756" t="s">
        <v>8</v>
      </c>
      <c r="R756">
        <v>105353056</v>
      </c>
      <c r="S756">
        <v>105353056</v>
      </c>
      <c r="T756">
        <v>105353056</v>
      </c>
      <c r="U756" t="s">
        <v>101</v>
      </c>
      <c r="V756" t="s">
        <v>9</v>
      </c>
    </row>
    <row r="757" spans="1:22" x14ac:dyDescent="0.25">
      <c r="A757">
        <v>41481570256</v>
      </c>
      <c r="B757" t="s">
        <v>10</v>
      </c>
      <c r="C757" t="s">
        <v>193</v>
      </c>
      <c r="D757">
        <v>41481570256</v>
      </c>
      <c r="E757" s="1">
        <v>46225.710885405089</v>
      </c>
      <c r="F757">
        <v>115</v>
      </c>
      <c r="G757">
        <v>3</v>
      </c>
      <c r="H757" t="s">
        <v>4</v>
      </c>
      <c r="I757" t="s">
        <v>5</v>
      </c>
      <c r="J757" t="s">
        <v>6</v>
      </c>
      <c r="K757">
        <v>22119270</v>
      </c>
      <c r="L757">
        <v>70806</v>
      </c>
      <c r="M757">
        <v>19990</v>
      </c>
      <c r="N757" t="s">
        <v>7</v>
      </c>
      <c r="O757">
        <v>259566.93</v>
      </c>
      <c r="P757" t="s">
        <v>230</v>
      </c>
      <c r="Q757" t="s">
        <v>11</v>
      </c>
      <c r="R757">
        <v>107906554</v>
      </c>
      <c r="S757">
        <v>107906554</v>
      </c>
      <c r="T757">
        <v>107906554</v>
      </c>
      <c r="U757" t="s">
        <v>231</v>
      </c>
      <c r="V757" t="s">
        <v>9</v>
      </c>
    </row>
    <row r="758" spans="1:22" x14ac:dyDescent="0.25">
      <c r="A758">
        <v>41482548652</v>
      </c>
      <c r="B758" t="s">
        <v>10</v>
      </c>
      <c r="C758" t="s">
        <v>3</v>
      </c>
      <c r="D758">
        <v>41482548652</v>
      </c>
      <c r="E758" s="1">
        <v>46226.492796134262</v>
      </c>
      <c r="F758">
        <v>115</v>
      </c>
      <c r="G758">
        <v>3</v>
      </c>
      <c r="H758" t="s">
        <v>20</v>
      </c>
      <c r="I758" t="s">
        <v>5</v>
      </c>
      <c r="J758" t="s">
        <v>6</v>
      </c>
      <c r="K758">
        <v>13139066</v>
      </c>
      <c r="L758">
        <v>804887</v>
      </c>
      <c r="M758">
        <v>90000</v>
      </c>
      <c r="N758" t="s">
        <v>7</v>
      </c>
      <c r="O758">
        <v>1168635.6399999999</v>
      </c>
      <c r="P758" t="s">
        <v>21</v>
      </c>
      <c r="Q758" t="s">
        <v>8</v>
      </c>
      <c r="R758">
        <v>135198109</v>
      </c>
      <c r="S758">
        <v>135198109</v>
      </c>
      <c r="T758">
        <v>135198109</v>
      </c>
      <c r="U758" t="s">
        <v>22</v>
      </c>
      <c r="V758" t="s">
        <v>15</v>
      </c>
    </row>
    <row r="759" spans="1:22" x14ac:dyDescent="0.25">
      <c r="A759">
        <v>41482548652</v>
      </c>
      <c r="B759" t="s">
        <v>10</v>
      </c>
      <c r="C759" t="s">
        <v>23</v>
      </c>
      <c r="D759">
        <v>41482548652</v>
      </c>
      <c r="E759" s="1">
        <v>46226.492796134262</v>
      </c>
      <c r="F759">
        <v>115</v>
      </c>
      <c r="G759">
        <v>3</v>
      </c>
      <c r="H759" t="s">
        <v>20</v>
      </c>
      <c r="I759" t="s">
        <v>5</v>
      </c>
      <c r="J759" t="s">
        <v>6</v>
      </c>
      <c r="K759">
        <v>13139066</v>
      </c>
      <c r="L759">
        <v>804887</v>
      </c>
      <c r="M759">
        <v>90000</v>
      </c>
      <c r="N759" t="s">
        <v>7</v>
      </c>
      <c r="O759">
        <v>1168635.6399999999</v>
      </c>
      <c r="P759" t="s">
        <v>21</v>
      </c>
      <c r="Q759" t="s">
        <v>8</v>
      </c>
      <c r="R759">
        <v>135198109</v>
      </c>
      <c r="S759">
        <v>135198109</v>
      </c>
      <c r="T759">
        <v>135198109</v>
      </c>
      <c r="U759" t="s">
        <v>22</v>
      </c>
      <c r="V759" t="s">
        <v>15</v>
      </c>
    </row>
    <row r="760" spans="1:22" x14ac:dyDescent="0.25">
      <c r="A760">
        <v>41482548652</v>
      </c>
      <c r="B760" t="s">
        <v>10</v>
      </c>
      <c r="C760" t="s">
        <v>24</v>
      </c>
      <c r="D760">
        <v>41482548652</v>
      </c>
      <c r="E760" s="1">
        <v>46226.492796134262</v>
      </c>
      <c r="F760">
        <v>115</v>
      </c>
      <c r="G760">
        <v>3</v>
      </c>
      <c r="H760" t="s">
        <v>20</v>
      </c>
      <c r="I760" t="s">
        <v>5</v>
      </c>
      <c r="J760" t="s">
        <v>6</v>
      </c>
      <c r="K760">
        <v>13139066</v>
      </c>
      <c r="L760">
        <v>804887</v>
      </c>
      <c r="M760">
        <v>90000</v>
      </c>
      <c r="N760" t="s">
        <v>7</v>
      </c>
      <c r="O760">
        <v>1168635.6399999999</v>
      </c>
      <c r="P760" t="s">
        <v>21</v>
      </c>
      <c r="Q760" t="s">
        <v>8</v>
      </c>
      <c r="R760">
        <v>135198109</v>
      </c>
      <c r="S760">
        <v>135198109</v>
      </c>
      <c r="T760">
        <v>135198109</v>
      </c>
      <c r="U760" t="s">
        <v>22</v>
      </c>
      <c r="V760" t="s">
        <v>15</v>
      </c>
    </row>
    <row r="761" spans="1:22" x14ac:dyDescent="0.25">
      <c r="A761">
        <v>41482548652</v>
      </c>
      <c r="B761" t="s">
        <v>10</v>
      </c>
      <c r="C761" t="s">
        <v>128</v>
      </c>
      <c r="D761">
        <v>41482548652</v>
      </c>
      <c r="E761" s="1">
        <v>46226.492796134262</v>
      </c>
      <c r="F761">
        <v>115</v>
      </c>
      <c r="G761">
        <v>3</v>
      </c>
      <c r="H761" t="s">
        <v>20</v>
      </c>
      <c r="I761" t="s">
        <v>5</v>
      </c>
      <c r="J761" t="s">
        <v>6</v>
      </c>
      <c r="K761">
        <v>13139066</v>
      </c>
      <c r="L761">
        <v>804887</v>
      </c>
      <c r="M761">
        <v>90000</v>
      </c>
      <c r="N761" t="s">
        <v>7</v>
      </c>
      <c r="O761">
        <v>1168635.6399999999</v>
      </c>
      <c r="P761" t="s">
        <v>21</v>
      </c>
      <c r="Q761" t="s">
        <v>8</v>
      </c>
      <c r="R761">
        <v>135198109</v>
      </c>
      <c r="S761">
        <v>135198109</v>
      </c>
      <c r="T761">
        <v>135198109</v>
      </c>
      <c r="U761" t="s">
        <v>22</v>
      </c>
      <c r="V761" t="s">
        <v>15</v>
      </c>
    </row>
    <row r="762" spans="1:22" x14ac:dyDescent="0.25">
      <c r="A762">
        <v>41482548652</v>
      </c>
      <c r="B762" t="s">
        <v>10</v>
      </c>
      <c r="C762" t="s">
        <v>168</v>
      </c>
      <c r="D762">
        <v>41482548652</v>
      </c>
      <c r="E762" s="1">
        <v>46226.492796134262</v>
      </c>
      <c r="F762">
        <v>115</v>
      </c>
      <c r="G762">
        <v>3</v>
      </c>
      <c r="H762" t="s">
        <v>20</v>
      </c>
      <c r="I762" t="s">
        <v>5</v>
      </c>
      <c r="J762" t="s">
        <v>6</v>
      </c>
      <c r="K762">
        <v>13139066</v>
      </c>
      <c r="L762">
        <v>804887</v>
      </c>
      <c r="M762">
        <v>90000</v>
      </c>
      <c r="N762" t="s">
        <v>7</v>
      </c>
      <c r="O762">
        <v>1168635.6399999999</v>
      </c>
      <c r="P762" t="s">
        <v>21</v>
      </c>
      <c r="Q762" t="s">
        <v>8</v>
      </c>
      <c r="R762">
        <v>135198109</v>
      </c>
      <c r="S762">
        <v>135198109</v>
      </c>
      <c r="T762">
        <v>135198109</v>
      </c>
      <c r="U762" t="s">
        <v>22</v>
      </c>
      <c r="V762" t="s">
        <v>15</v>
      </c>
    </row>
    <row r="763" spans="1:22" x14ac:dyDescent="0.25">
      <c r="A763">
        <v>41482548652</v>
      </c>
      <c r="B763" t="s">
        <v>10</v>
      </c>
      <c r="C763" t="s">
        <v>185</v>
      </c>
      <c r="D763">
        <v>41482548652</v>
      </c>
      <c r="E763" s="1">
        <v>46226.492796134262</v>
      </c>
      <c r="F763">
        <v>115</v>
      </c>
      <c r="G763">
        <v>3</v>
      </c>
      <c r="H763" t="s">
        <v>20</v>
      </c>
      <c r="I763" t="s">
        <v>5</v>
      </c>
      <c r="J763" t="s">
        <v>6</v>
      </c>
      <c r="K763">
        <v>13139066</v>
      </c>
      <c r="L763">
        <v>804887</v>
      </c>
      <c r="M763">
        <v>90000</v>
      </c>
      <c r="N763" t="s">
        <v>7</v>
      </c>
      <c r="O763">
        <v>1168635.6399999999</v>
      </c>
      <c r="P763" t="s">
        <v>21</v>
      </c>
      <c r="Q763" t="s">
        <v>8</v>
      </c>
      <c r="R763">
        <v>135198109</v>
      </c>
      <c r="S763">
        <v>135198109</v>
      </c>
      <c r="T763">
        <v>135198109</v>
      </c>
      <c r="U763" t="s">
        <v>22</v>
      </c>
      <c r="V763" t="s">
        <v>15</v>
      </c>
    </row>
    <row r="764" spans="1:22" x14ac:dyDescent="0.25">
      <c r="A764">
        <v>41482548652</v>
      </c>
      <c r="B764" t="s">
        <v>10</v>
      </c>
      <c r="C764" t="s">
        <v>192</v>
      </c>
      <c r="D764">
        <v>41482548652</v>
      </c>
      <c r="E764" s="1">
        <v>46226.492796134262</v>
      </c>
      <c r="F764">
        <v>115</v>
      </c>
      <c r="G764">
        <v>3</v>
      </c>
      <c r="H764" t="s">
        <v>20</v>
      </c>
      <c r="I764" t="s">
        <v>5</v>
      </c>
      <c r="J764" t="s">
        <v>6</v>
      </c>
      <c r="K764">
        <v>13139066</v>
      </c>
      <c r="L764">
        <v>804887</v>
      </c>
      <c r="M764">
        <v>90000</v>
      </c>
      <c r="N764" t="s">
        <v>7</v>
      </c>
      <c r="O764">
        <v>1168635.6399999999</v>
      </c>
      <c r="P764" t="s">
        <v>21</v>
      </c>
      <c r="Q764" t="s">
        <v>8</v>
      </c>
      <c r="R764">
        <v>135198109</v>
      </c>
      <c r="S764">
        <v>135198109</v>
      </c>
      <c r="T764">
        <v>135198109</v>
      </c>
      <c r="U764" t="s">
        <v>22</v>
      </c>
      <c r="V764" t="s">
        <v>15</v>
      </c>
    </row>
    <row r="765" spans="1:22" x14ac:dyDescent="0.25">
      <c r="A765">
        <v>41482548652</v>
      </c>
      <c r="B765" t="s">
        <v>10</v>
      </c>
      <c r="C765" t="s">
        <v>193</v>
      </c>
      <c r="D765">
        <v>41482548652</v>
      </c>
      <c r="E765" s="1">
        <v>46226.492796134262</v>
      </c>
      <c r="F765">
        <v>115</v>
      </c>
      <c r="G765">
        <v>3</v>
      </c>
      <c r="H765" t="s">
        <v>20</v>
      </c>
      <c r="I765" t="s">
        <v>5</v>
      </c>
      <c r="J765" t="s">
        <v>6</v>
      </c>
      <c r="K765">
        <v>13139066</v>
      </c>
      <c r="L765">
        <v>804887</v>
      </c>
      <c r="M765">
        <v>90000</v>
      </c>
      <c r="N765" t="s">
        <v>7</v>
      </c>
      <c r="O765">
        <v>1168635.6399999999</v>
      </c>
      <c r="P765" t="s">
        <v>21</v>
      </c>
      <c r="Q765" t="s">
        <v>8</v>
      </c>
      <c r="R765">
        <v>135198109</v>
      </c>
      <c r="S765">
        <v>135198109</v>
      </c>
      <c r="T765">
        <v>135198109</v>
      </c>
      <c r="U765" t="s">
        <v>22</v>
      </c>
      <c r="V765" t="s">
        <v>15</v>
      </c>
    </row>
    <row r="766" spans="1:22" x14ac:dyDescent="0.25">
      <c r="A766">
        <v>41483063386</v>
      </c>
      <c r="B766" t="s">
        <v>2</v>
      </c>
      <c r="C766" t="s">
        <v>25</v>
      </c>
      <c r="D766">
        <v>41483063386</v>
      </c>
      <c r="E766" s="1">
        <v>46226.662101180555</v>
      </c>
      <c r="F766">
        <v>115</v>
      </c>
      <c r="G766">
        <v>3</v>
      </c>
      <c r="H766" t="s">
        <v>4</v>
      </c>
      <c r="I766" t="s">
        <v>5</v>
      </c>
      <c r="J766" t="s">
        <v>6</v>
      </c>
      <c r="K766">
        <v>83372888</v>
      </c>
      <c r="L766">
        <v>608407</v>
      </c>
      <c r="M766">
        <v>80000</v>
      </c>
      <c r="N766" t="s">
        <v>7</v>
      </c>
      <c r="O766">
        <v>1038787.21</v>
      </c>
      <c r="P766" t="s">
        <v>38</v>
      </c>
      <c r="Q766" t="s">
        <v>8</v>
      </c>
      <c r="R766">
        <v>122720485</v>
      </c>
      <c r="S766">
        <v>122720485</v>
      </c>
      <c r="T766">
        <v>122720485</v>
      </c>
      <c r="U766" t="s">
        <v>39</v>
      </c>
      <c r="V766" t="s">
        <v>9</v>
      </c>
    </row>
    <row r="767" spans="1:22" x14ac:dyDescent="0.25">
      <c r="A767">
        <v>41483063386</v>
      </c>
      <c r="B767" t="s">
        <v>2</v>
      </c>
      <c r="C767" t="s">
        <v>42</v>
      </c>
      <c r="D767">
        <v>41483063386</v>
      </c>
      <c r="E767" s="1">
        <v>46226.662101180555</v>
      </c>
      <c r="F767">
        <v>115</v>
      </c>
      <c r="G767">
        <v>3</v>
      </c>
      <c r="H767" t="s">
        <v>4</v>
      </c>
      <c r="I767" t="s">
        <v>5</v>
      </c>
      <c r="J767" t="s">
        <v>6</v>
      </c>
      <c r="K767">
        <v>83372888</v>
      </c>
      <c r="L767">
        <v>608407</v>
      </c>
      <c r="M767">
        <v>80000</v>
      </c>
      <c r="N767" t="s">
        <v>7</v>
      </c>
      <c r="O767">
        <v>1038787.21</v>
      </c>
      <c r="P767" t="s">
        <v>38</v>
      </c>
      <c r="Q767" t="s">
        <v>8</v>
      </c>
      <c r="R767">
        <v>122720485</v>
      </c>
      <c r="S767">
        <v>122720485</v>
      </c>
      <c r="T767">
        <v>122720485</v>
      </c>
      <c r="U767" t="s">
        <v>39</v>
      </c>
      <c r="V767" t="s">
        <v>9</v>
      </c>
    </row>
    <row r="768" spans="1:22" x14ac:dyDescent="0.25">
      <c r="A768">
        <v>41483063386</v>
      </c>
      <c r="B768" t="s">
        <v>2</v>
      </c>
      <c r="C768" t="s">
        <v>128</v>
      </c>
      <c r="D768">
        <v>41483063386</v>
      </c>
      <c r="E768" s="1">
        <v>46226.662101180555</v>
      </c>
      <c r="F768">
        <v>115</v>
      </c>
      <c r="G768">
        <v>3</v>
      </c>
      <c r="H768" t="s">
        <v>4</v>
      </c>
      <c r="I768" t="s">
        <v>5</v>
      </c>
      <c r="J768" t="s">
        <v>6</v>
      </c>
      <c r="K768">
        <v>83372888</v>
      </c>
      <c r="L768">
        <v>608407</v>
      </c>
      <c r="M768">
        <v>80000</v>
      </c>
      <c r="N768" t="s">
        <v>7</v>
      </c>
      <c r="O768">
        <v>1038787.21</v>
      </c>
      <c r="P768" t="s">
        <v>38</v>
      </c>
      <c r="Q768" t="s">
        <v>8</v>
      </c>
      <c r="R768">
        <v>122720485</v>
      </c>
      <c r="S768">
        <v>122720485</v>
      </c>
      <c r="T768">
        <v>122720485</v>
      </c>
      <c r="U768" t="s">
        <v>39</v>
      </c>
      <c r="V768" t="s">
        <v>9</v>
      </c>
    </row>
    <row r="769" spans="1:22" x14ac:dyDescent="0.25">
      <c r="A769">
        <v>41483063386</v>
      </c>
      <c r="B769" t="s">
        <v>2</v>
      </c>
      <c r="C769" t="s">
        <v>168</v>
      </c>
      <c r="D769">
        <v>41483063386</v>
      </c>
      <c r="E769" s="1">
        <v>46226.662101180555</v>
      </c>
      <c r="F769">
        <v>115</v>
      </c>
      <c r="G769">
        <v>3</v>
      </c>
      <c r="H769" t="s">
        <v>4</v>
      </c>
      <c r="I769" t="s">
        <v>5</v>
      </c>
      <c r="J769" t="s">
        <v>6</v>
      </c>
      <c r="K769">
        <v>83372888</v>
      </c>
      <c r="L769">
        <v>608407</v>
      </c>
      <c r="M769">
        <v>80000</v>
      </c>
      <c r="N769" t="s">
        <v>7</v>
      </c>
      <c r="O769">
        <v>1038787.21</v>
      </c>
      <c r="P769" t="s">
        <v>38</v>
      </c>
      <c r="Q769" t="s">
        <v>8</v>
      </c>
      <c r="R769">
        <v>122720485</v>
      </c>
      <c r="S769">
        <v>122720485</v>
      </c>
      <c r="T769">
        <v>122720485</v>
      </c>
      <c r="U769" t="s">
        <v>39</v>
      </c>
      <c r="V769" t="s">
        <v>9</v>
      </c>
    </row>
    <row r="770" spans="1:22" x14ac:dyDescent="0.25">
      <c r="A770">
        <v>41483063386</v>
      </c>
      <c r="B770" t="s">
        <v>2</v>
      </c>
      <c r="C770" t="s">
        <v>185</v>
      </c>
      <c r="D770">
        <v>41483063386</v>
      </c>
      <c r="E770" s="1">
        <v>46226.662101180555</v>
      </c>
      <c r="F770">
        <v>115</v>
      </c>
      <c r="G770">
        <v>3</v>
      </c>
      <c r="H770" t="s">
        <v>4</v>
      </c>
      <c r="I770" t="s">
        <v>5</v>
      </c>
      <c r="J770" t="s">
        <v>6</v>
      </c>
      <c r="K770">
        <v>83372888</v>
      </c>
      <c r="L770">
        <v>608407</v>
      </c>
      <c r="M770">
        <v>80000</v>
      </c>
      <c r="N770" t="s">
        <v>7</v>
      </c>
      <c r="O770">
        <v>1038787.21</v>
      </c>
      <c r="P770" t="s">
        <v>38</v>
      </c>
      <c r="Q770" t="s">
        <v>8</v>
      </c>
      <c r="R770">
        <v>122720485</v>
      </c>
      <c r="S770">
        <v>122720485</v>
      </c>
      <c r="T770">
        <v>122720485</v>
      </c>
      <c r="U770" t="s">
        <v>39</v>
      </c>
      <c r="V770" t="s">
        <v>9</v>
      </c>
    </row>
    <row r="771" spans="1:22" x14ac:dyDescent="0.25">
      <c r="A771">
        <v>41483063386</v>
      </c>
      <c r="B771" t="s">
        <v>2</v>
      </c>
      <c r="C771" t="s">
        <v>191</v>
      </c>
      <c r="D771">
        <v>41483063386</v>
      </c>
      <c r="E771" s="1">
        <v>46226.662101180555</v>
      </c>
      <c r="F771">
        <v>115</v>
      </c>
      <c r="G771">
        <v>3</v>
      </c>
      <c r="H771" t="s">
        <v>4</v>
      </c>
      <c r="I771" t="s">
        <v>5</v>
      </c>
      <c r="J771" t="s">
        <v>6</v>
      </c>
      <c r="K771">
        <v>83372888</v>
      </c>
      <c r="L771">
        <v>608407</v>
      </c>
      <c r="M771">
        <v>80000</v>
      </c>
      <c r="N771" t="s">
        <v>7</v>
      </c>
      <c r="O771">
        <v>1038787.21</v>
      </c>
      <c r="P771" t="s">
        <v>38</v>
      </c>
      <c r="Q771" t="s">
        <v>8</v>
      </c>
      <c r="R771">
        <v>122720485</v>
      </c>
      <c r="S771">
        <v>122720485</v>
      </c>
      <c r="T771">
        <v>122720485</v>
      </c>
      <c r="U771" t="s">
        <v>39</v>
      </c>
      <c r="V771" t="s">
        <v>9</v>
      </c>
    </row>
    <row r="772" spans="1:22" x14ac:dyDescent="0.25">
      <c r="A772">
        <v>41483063386</v>
      </c>
      <c r="B772" t="s">
        <v>2</v>
      </c>
      <c r="C772" t="s">
        <v>192</v>
      </c>
      <c r="D772">
        <v>41483063386</v>
      </c>
      <c r="E772" s="1">
        <v>46226.662101180555</v>
      </c>
      <c r="F772">
        <v>115</v>
      </c>
      <c r="G772">
        <v>3</v>
      </c>
      <c r="H772" t="s">
        <v>4</v>
      </c>
      <c r="I772" t="s">
        <v>5</v>
      </c>
      <c r="J772" t="s">
        <v>6</v>
      </c>
      <c r="K772">
        <v>83372888</v>
      </c>
      <c r="L772">
        <v>608407</v>
      </c>
      <c r="M772">
        <v>80000</v>
      </c>
      <c r="N772" t="s">
        <v>7</v>
      </c>
      <c r="O772">
        <v>1038787.21</v>
      </c>
      <c r="P772" t="s">
        <v>38</v>
      </c>
      <c r="Q772" t="s">
        <v>8</v>
      </c>
      <c r="R772">
        <v>122720485</v>
      </c>
      <c r="S772">
        <v>122720485</v>
      </c>
      <c r="T772">
        <v>122720485</v>
      </c>
      <c r="U772" t="s">
        <v>39</v>
      </c>
      <c r="V772" t="s">
        <v>9</v>
      </c>
    </row>
    <row r="773" spans="1:22" x14ac:dyDescent="0.25">
      <c r="A773">
        <v>41483063386</v>
      </c>
      <c r="B773" t="s">
        <v>2</v>
      </c>
      <c r="C773" t="s">
        <v>193</v>
      </c>
      <c r="D773">
        <v>41483063386</v>
      </c>
      <c r="E773" s="1">
        <v>46226.662101180555</v>
      </c>
      <c r="F773">
        <v>115</v>
      </c>
      <c r="G773">
        <v>3</v>
      </c>
      <c r="H773" t="s">
        <v>4</v>
      </c>
      <c r="I773" t="s">
        <v>5</v>
      </c>
      <c r="J773" t="s">
        <v>6</v>
      </c>
      <c r="K773">
        <v>83372888</v>
      </c>
      <c r="L773">
        <v>608407</v>
      </c>
      <c r="M773">
        <v>80000</v>
      </c>
      <c r="N773" t="s">
        <v>7</v>
      </c>
      <c r="O773">
        <v>1038787.21</v>
      </c>
      <c r="P773" t="s">
        <v>38</v>
      </c>
      <c r="Q773" t="s">
        <v>8</v>
      </c>
      <c r="R773">
        <v>122720485</v>
      </c>
      <c r="S773">
        <v>122720485</v>
      </c>
      <c r="T773">
        <v>122720485</v>
      </c>
      <c r="U773" t="s">
        <v>39</v>
      </c>
      <c r="V773" t="s">
        <v>9</v>
      </c>
    </row>
    <row r="774" spans="1:22" x14ac:dyDescent="0.25">
      <c r="A774">
        <v>41483063386</v>
      </c>
      <c r="B774" t="s">
        <v>2</v>
      </c>
      <c r="C774" t="s">
        <v>232</v>
      </c>
      <c r="D774">
        <v>41483063386</v>
      </c>
      <c r="E774" s="1">
        <v>46226.662101180555</v>
      </c>
      <c r="F774">
        <v>115</v>
      </c>
      <c r="G774">
        <v>3</v>
      </c>
      <c r="H774" t="s">
        <v>4</v>
      </c>
      <c r="I774" t="s">
        <v>5</v>
      </c>
      <c r="J774" t="s">
        <v>6</v>
      </c>
      <c r="K774">
        <v>83372888</v>
      </c>
      <c r="L774">
        <v>608407</v>
      </c>
      <c r="M774">
        <v>80000</v>
      </c>
      <c r="N774" t="s">
        <v>7</v>
      </c>
      <c r="O774">
        <v>1038787.21</v>
      </c>
      <c r="P774" t="s">
        <v>38</v>
      </c>
      <c r="Q774" t="s">
        <v>8</v>
      </c>
      <c r="R774">
        <v>122720485</v>
      </c>
      <c r="S774">
        <v>122720485</v>
      </c>
      <c r="T774">
        <v>122720485</v>
      </c>
      <c r="U774" t="s">
        <v>39</v>
      </c>
      <c r="V774" t="s">
        <v>9</v>
      </c>
    </row>
    <row r="775" spans="1:22" x14ac:dyDescent="0.25">
      <c r="A775">
        <v>41483244960</v>
      </c>
      <c r="B775" t="s">
        <v>106</v>
      </c>
      <c r="C775" t="s">
        <v>42</v>
      </c>
      <c r="D775">
        <v>41483244960</v>
      </c>
      <c r="E775" s="1">
        <v>46226.727365856481</v>
      </c>
      <c r="F775">
        <v>115</v>
      </c>
      <c r="G775">
        <v>3</v>
      </c>
      <c r="H775" t="s">
        <v>4</v>
      </c>
      <c r="I775" t="s">
        <v>5</v>
      </c>
      <c r="J775" t="s">
        <v>6</v>
      </c>
      <c r="K775">
        <v>17554591</v>
      </c>
      <c r="L775">
        <v>40339</v>
      </c>
      <c r="M775">
        <v>50000</v>
      </c>
      <c r="N775" t="s">
        <v>7</v>
      </c>
      <c r="O775">
        <v>649241.99</v>
      </c>
      <c r="P775" t="s">
        <v>107</v>
      </c>
      <c r="Q775" t="s">
        <v>8</v>
      </c>
      <c r="R775">
        <v>105870745</v>
      </c>
      <c r="S775">
        <v>105870745</v>
      </c>
      <c r="T775">
        <v>105870745</v>
      </c>
      <c r="U775" t="s">
        <v>108</v>
      </c>
      <c r="V775" t="s">
        <v>9</v>
      </c>
    </row>
    <row r="776" spans="1:22" x14ac:dyDescent="0.25">
      <c r="A776">
        <v>41483244960</v>
      </c>
      <c r="B776" t="s">
        <v>106</v>
      </c>
      <c r="C776" t="s">
        <v>168</v>
      </c>
      <c r="D776">
        <v>41483244960</v>
      </c>
      <c r="E776" s="1">
        <v>46226.727365856481</v>
      </c>
      <c r="F776">
        <v>115</v>
      </c>
      <c r="G776">
        <v>3</v>
      </c>
      <c r="H776" t="s">
        <v>4</v>
      </c>
      <c r="I776" t="s">
        <v>5</v>
      </c>
      <c r="J776" t="s">
        <v>6</v>
      </c>
      <c r="K776">
        <v>17554591</v>
      </c>
      <c r="L776">
        <v>40339</v>
      </c>
      <c r="M776">
        <v>50000</v>
      </c>
      <c r="N776" t="s">
        <v>7</v>
      </c>
      <c r="O776">
        <v>649241.99</v>
      </c>
      <c r="P776" t="s">
        <v>107</v>
      </c>
      <c r="Q776" t="s">
        <v>8</v>
      </c>
      <c r="R776">
        <v>105870745</v>
      </c>
      <c r="S776">
        <v>105870745</v>
      </c>
      <c r="T776">
        <v>105870745</v>
      </c>
      <c r="U776" t="s">
        <v>108</v>
      </c>
      <c r="V776" t="s">
        <v>9</v>
      </c>
    </row>
    <row r="777" spans="1:22" x14ac:dyDescent="0.25">
      <c r="A777">
        <v>41483244960</v>
      </c>
      <c r="B777" t="s">
        <v>106</v>
      </c>
      <c r="C777" t="s">
        <v>192</v>
      </c>
      <c r="D777">
        <v>41483244960</v>
      </c>
      <c r="E777" s="1">
        <v>46226.727365856481</v>
      </c>
      <c r="F777">
        <v>115</v>
      </c>
      <c r="G777">
        <v>3</v>
      </c>
      <c r="H777" t="s">
        <v>4</v>
      </c>
      <c r="I777" t="s">
        <v>5</v>
      </c>
      <c r="J777" t="s">
        <v>6</v>
      </c>
      <c r="K777">
        <v>17554591</v>
      </c>
      <c r="L777">
        <v>40339</v>
      </c>
      <c r="M777">
        <v>50000</v>
      </c>
      <c r="N777" t="s">
        <v>7</v>
      </c>
      <c r="O777">
        <v>649241.99</v>
      </c>
      <c r="P777" t="s">
        <v>107</v>
      </c>
      <c r="Q777" t="s">
        <v>8</v>
      </c>
      <c r="R777">
        <v>105870745</v>
      </c>
      <c r="S777">
        <v>105870745</v>
      </c>
      <c r="T777">
        <v>105870745</v>
      </c>
      <c r="U777" t="s">
        <v>108</v>
      </c>
      <c r="V777" t="s">
        <v>9</v>
      </c>
    </row>
    <row r="778" spans="1:22" x14ac:dyDescent="0.25">
      <c r="A778">
        <v>41483244960</v>
      </c>
      <c r="B778" t="s">
        <v>106</v>
      </c>
      <c r="C778" t="s">
        <v>193</v>
      </c>
      <c r="D778">
        <v>41483244960</v>
      </c>
      <c r="E778" s="1">
        <v>46226.727365856481</v>
      </c>
      <c r="F778">
        <v>115</v>
      </c>
      <c r="G778">
        <v>3</v>
      </c>
      <c r="H778" t="s">
        <v>4</v>
      </c>
      <c r="I778" t="s">
        <v>5</v>
      </c>
      <c r="J778" t="s">
        <v>6</v>
      </c>
      <c r="K778">
        <v>17554591</v>
      </c>
      <c r="L778">
        <v>40339</v>
      </c>
      <c r="M778">
        <v>50000</v>
      </c>
      <c r="N778" t="s">
        <v>7</v>
      </c>
      <c r="O778">
        <v>649241.99</v>
      </c>
      <c r="P778" t="s">
        <v>107</v>
      </c>
      <c r="Q778" t="s">
        <v>8</v>
      </c>
      <c r="R778">
        <v>105870745</v>
      </c>
      <c r="S778">
        <v>105870745</v>
      </c>
      <c r="T778">
        <v>105870745</v>
      </c>
      <c r="U778" t="s">
        <v>108</v>
      </c>
      <c r="V778" t="s">
        <v>9</v>
      </c>
    </row>
    <row r="779" spans="1:22" x14ac:dyDescent="0.25">
      <c r="A779">
        <v>41483254891</v>
      </c>
      <c r="B779" t="s">
        <v>10</v>
      </c>
      <c r="C779" t="s">
        <v>25</v>
      </c>
      <c r="D779">
        <v>41483254891</v>
      </c>
      <c r="E779" s="1">
        <v>46226.731042407409</v>
      </c>
      <c r="F779">
        <v>115</v>
      </c>
      <c r="G779">
        <v>3</v>
      </c>
      <c r="H779" t="s">
        <v>4</v>
      </c>
      <c r="I779" t="s">
        <v>5</v>
      </c>
      <c r="J779" t="s">
        <v>6</v>
      </c>
      <c r="K779">
        <v>73114139</v>
      </c>
      <c r="L779">
        <v>406437</v>
      </c>
      <c r="M779">
        <v>100000</v>
      </c>
      <c r="N779" t="s">
        <v>7</v>
      </c>
      <c r="O779">
        <v>1298483.98</v>
      </c>
      <c r="P779" t="s">
        <v>36</v>
      </c>
      <c r="Q779" t="s">
        <v>8</v>
      </c>
      <c r="R779">
        <v>119228773</v>
      </c>
      <c r="S779">
        <v>119228773</v>
      </c>
      <c r="T779">
        <v>119228773</v>
      </c>
      <c r="U779" t="s">
        <v>37</v>
      </c>
      <c r="V779" t="s">
        <v>15</v>
      </c>
    </row>
    <row r="780" spans="1:22" x14ac:dyDescent="0.25">
      <c r="A780">
        <v>41483254891</v>
      </c>
      <c r="B780" t="s">
        <v>10</v>
      </c>
      <c r="C780" t="s">
        <v>128</v>
      </c>
      <c r="D780">
        <v>41483254891</v>
      </c>
      <c r="E780" s="1">
        <v>46226.731042407409</v>
      </c>
      <c r="F780">
        <v>115</v>
      </c>
      <c r="G780">
        <v>3</v>
      </c>
      <c r="H780" t="s">
        <v>4</v>
      </c>
      <c r="I780" t="s">
        <v>5</v>
      </c>
      <c r="J780" t="s">
        <v>6</v>
      </c>
      <c r="K780">
        <v>73114139</v>
      </c>
      <c r="L780">
        <v>406437</v>
      </c>
      <c r="M780">
        <v>100000</v>
      </c>
      <c r="N780" t="s">
        <v>7</v>
      </c>
      <c r="O780">
        <v>1298483.98</v>
      </c>
      <c r="P780" t="s">
        <v>36</v>
      </c>
      <c r="Q780" t="s">
        <v>8</v>
      </c>
      <c r="R780">
        <v>119228773</v>
      </c>
      <c r="S780">
        <v>119228773</v>
      </c>
      <c r="T780">
        <v>119228773</v>
      </c>
      <c r="U780" t="s">
        <v>37</v>
      </c>
      <c r="V780" t="s">
        <v>15</v>
      </c>
    </row>
    <row r="781" spans="1:22" x14ac:dyDescent="0.25">
      <c r="A781">
        <v>41483254891</v>
      </c>
      <c r="B781" t="s">
        <v>10</v>
      </c>
      <c r="C781" t="s">
        <v>168</v>
      </c>
      <c r="D781">
        <v>41483254891</v>
      </c>
      <c r="E781" s="1">
        <v>46226.731042407409</v>
      </c>
      <c r="F781">
        <v>115</v>
      </c>
      <c r="G781">
        <v>3</v>
      </c>
      <c r="H781" t="s">
        <v>4</v>
      </c>
      <c r="I781" t="s">
        <v>5</v>
      </c>
      <c r="J781" t="s">
        <v>6</v>
      </c>
      <c r="K781">
        <v>73114139</v>
      </c>
      <c r="L781">
        <v>406437</v>
      </c>
      <c r="M781">
        <v>100000</v>
      </c>
      <c r="N781" t="s">
        <v>7</v>
      </c>
      <c r="O781">
        <v>1298483.98</v>
      </c>
      <c r="P781" t="s">
        <v>36</v>
      </c>
      <c r="Q781" t="s">
        <v>8</v>
      </c>
      <c r="R781">
        <v>119228773</v>
      </c>
      <c r="S781">
        <v>119228773</v>
      </c>
      <c r="T781">
        <v>119228773</v>
      </c>
      <c r="U781" t="s">
        <v>37</v>
      </c>
      <c r="V781" t="s">
        <v>15</v>
      </c>
    </row>
    <row r="782" spans="1:22" x14ac:dyDescent="0.25">
      <c r="A782">
        <v>41483254891</v>
      </c>
      <c r="B782" t="s">
        <v>10</v>
      </c>
      <c r="C782" t="s">
        <v>185</v>
      </c>
      <c r="D782">
        <v>41483254891</v>
      </c>
      <c r="E782" s="1">
        <v>46226.731042407409</v>
      </c>
      <c r="F782">
        <v>115</v>
      </c>
      <c r="G782">
        <v>3</v>
      </c>
      <c r="H782" t="s">
        <v>4</v>
      </c>
      <c r="I782" t="s">
        <v>5</v>
      </c>
      <c r="J782" t="s">
        <v>6</v>
      </c>
      <c r="K782">
        <v>73114139</v>
      </c>
      <c r="L782">
        <v>406437</v>
      </c>
      <c r="M782">
        <v>100000</v>
      </c>
      <c r="N782" t="s">
        <v>7</v>
      </c>
      <c r="O782">
        <v>1298483.98</v>
      </c>
      <c r="P782" t="s">
        <v>36</v>
      </c>
      <c r="Q782" t="s">
        <v>8</v>
      </c>
      <c r="R782">
        <v>119228773</v>
      </c>
      <c r="S782">
        <v>119228773</v>
      </c>
      <c r="T782">
        <v>119228773</v>
      </c>
      <c r="U782" t="s">
        <v>37</v>
      </c>
      <c r="V782" t="s">
        <v>15</v>
      </c>
    </row>
    <row r="783" spans="1:22" x14ac:dyDescent="0.25">
      <c r="A783">
        <v>41483254891</v>
      </c>
      <c r="B783" t="s">
        <v>10</v>
      </c>
      <c r="C783" t="s">
        <v>192</v>
      </c>
      <c r="D783">
        <v>41483254891</v>
      </c>
      <c r="E783" s="1">
        <v>46226.731042407409</v>
      </c>
      <c r="F783">
        <v>115</v>
      </c>
      <c r="G783">
        <v>3</v>
      </c>
      <c r="H783" t="s">
        <v>4</v>
      </c>
      <c r="I783" t="s">
        <v>5</v>
      </c>
      <c r="J783" t="s">
        <v>6</v>
      </c>
      <c r="K783">
        <v>73114139</v>
      </c>
      <c r="L783">
        <v>406437</v>
      </c>
      <c r="M783">
        <v>100000</v>
      </c>
      <c r="N783" t="s">
        <v>7</v>
      </c>
      <c r="O783">
        <v>1298483.98</v>
      </c>
      <c r="P783" t="s">
        <v>36</v>
      </c>
      <c r="Q783" t="s">
        <v>8</v>
      </c>
      <c r="R783">
        <v>119228773</v>
      </c>
      <c r="S783">
        <v>119228773</v>
      </c>
      <c r="T783">
        <v>119228773</v>
      </c>
      <c r="U783" t="s">
        <v>37</v>
      </c>
      <c r="V783" t="s">
        <v>15</v>
      </c>
    </row>
    <row r="784" spans="1:22" x14ac:dyDescent="0.25">
      <c r="A784">
        <v>41483254891</v>
      </c>
      <c r="B784" t="s">
        <v>10</v>
      </c>
      <c r="C784" t="s">
        <v>193</v>
      </c>
      <c r="D784">
        <v>41483254891</v>
      </c>
      <c r="E784" s="1">
        <v>46226.731042407409</v>
      </c>
      <c r="F784">
        <v>115</v>
      </c>
      <c r="G784">
        <v>3</v>
      </c>
      <c r="H784" t="s">
        <v>4</v>
      </c>
      <c r="I784" t="s">
        <v>5</v>
      </c>
      <c r="J784" t="s">
        <v>6</v>
      </c>
      <c r="K784">
        <v>73114139</v>
      </c>
      <c r="L784">
        <v>406437</v>
      </c>
      <c r="M784">
        <v>100000</v>
      </c>
      <c r="N784" t="s">
        <v>7</v>
      </c>
      <c r="O784">
        <v>1298483.98</v>
      </c>
      <c r="P784" t="s">
        <v>36</v>
      </c>
      <c r="Q784" t="s">
        <v>8</v>
      </c>
      <c r="R784">
        <v>119228773</v>
      </c>
      <c r="S784">
        <v>119228773</v>
      </c>
      <c r="T784">
        <v>119228773</v>
      </c>
      <c r="U784" t="s">
        <v>37</v>
      </c>
      <c r="V784" t="s">
        <v>15</v>
      </c>
    </row>
    <row r="785" spans="1:22" x14ac:dyDescent="0.25">
      <c r="A785">
        <v>41483254891</v>
      </c>
      <c r="B785" t="s">
        <v>10</v>
      </c>
      <c r="C785" t="s">
        <v>232</v>
      </c>
      <c r="D785">
        <v>41483254891</v>
      </c>
      <c r="E785" s="1">
        <v>46226.731042407409</v>
      </c>
      <c r="F785">
        <v>115</v>
      </c>
      <c r="G785">
        <v>3</v>
      </c>
      <c r="H785" t="s">
        <v>4</v>
      </c>
      <c r="I785" t="s">
        <v>5</v>
      </c>
      <c r="J785" t="s">
        <v>6</v>
      </c>
      <c r="K785">
        <v>73114139</v>
      </c>
      <c r="L785">
        <v>406437</v>
      </c>
      <c r="M785">
        <v>100000</v>
      </c>
      <c r="N785" t="s">
        <v>7</v>
      </c>
      <c r="O785">
        <v>1298483.98</v>
      </c>
      <c r="P785" t="s">
        <v>36</v>
      </c>
      <c r="Q785" t="s">
        <v>8</v>
      </c>
      <c r="R785">
        <v>119228773</v>
      </c>
      <c r="S785">
        <v>119228773</v>
      </c>
      <c r="T785">
        <v>119228773</v>
      </c>
      <c r="U785" t="s">
        <v>37</v>
      </c>
      <c r="V785" t="s">
        <v>15</v>
      </c>
    </row>
  </sheetData>
  <sortState xmlns:xlrd2="http://schemas.microsoft.com/office/spreadsheetml/2017/richdata2" ref="A2:V785">
    <sortCondition ref="A2:A785"/>
  </sortState>
  <pageMargins left="0.7" right="0.7" top="0.75" bottom="0.75" header="0.3" footer="0.3"/>
  <headerFooter>
    <oddHeader>&amp;R&amp;"Arial"&amp;8&amp;K000000 Information classification: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Scenario Crossover</vt:lpstr>
      <vt:lpstr>Cross Border Fraud</vt:lpstr>
      <vt:lpstr>Other Scenario Hits</vt:lpstr>
      <vt:lpstr>Raw Alert Data</vt:lpstr>
    </vt:vector>
  </TitlesOfParts>
  <Company>Handelsbanken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Farmer</dc:creator>
  <cp:lastModifiedBy>Nicolas Farmer</cp:lastModifiedBy>
  <dcterms:created xsi:type="dcterms:W3CDTF">2026-07-24T08:27:39Z</dcterms:created>
  <dcterms:modified xsi:type="dcterms:W3CDTF">2026-08-11T14:59:37Z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1c28e5d-eba5-4573-b5ae-aae16f0d8d9b_Enabled">
    <vt:lpwstr>true</vt:lpwstr>
  </property>
  <property fmtid="{D5CDD505-2E9C-101B-9397-08002B2CF9AE}" pid="3" name="MSIP_Label_11c28e5d-eba5-4573-b5ae-aae16f0d8d9b_SetDate">
    <vt:lpwstr>2026-07-24T14:21:26Z</vt:lpwstr>
  </property>
  <property fmtid="{D5CDD505-2E9C-101B-9397-08002B2CF9AE}" pid="4" name="MSIP_Label_11c28e5d-eba5-4573-b5ae-aae16f0d8d9b_Method">
    <vt:lpwstr>Privileged</vt:lpwstr>
  </property>
  <property fmtid="{D5CDD505-2E9C-101B-9397-08002B2CF9AE}" pid="5" name="MSIP_Label_11c28e5d-eba5-4573-b5ae-aae16f0d8d9b_Name">
    <vt:lpwstr>Internal - Visual label</vt:lpwstr>
  </property>
  <property fmtid="{D5CDD505-2E9C-101B-9397-08002B2CF9AE}" pid="6" name="MSIP_Label_11c28e5d-eba5-4573-b5ae-aae16f0d8d9b_SiteId">
    <vt:lpwstr>4aba1e73-421d-4e8f-895a-786b597ba991</vt:lpwstr>
  </property>
  <property fmtid="{D5CDD505-2E9C-101B-9397-08002B2CF9AE}" pid="7" name="MSIP_Label_11c28e5d-eba5-4573-b5ae-aae16f0d8d9b_ActionId">
    <vt:lpwstr>7742befa-4930-4ef9-9ddb-4fac8f3f6776</vt:lpwstr>
  </property>
  <property fmtid="{D5CDD505-2E9C-101B-9397-08002B2CF9AE}" pid="8" name="MSIP_Label_11c28e5d-eba5-4573-b5ae-aae16f0d8d9b_ContentBits">
    <vt:lpwstr>1</vt:lpwstr>
  </property>
  <property fmtid="{D5CDD505-2E9C-101B-9397-08002B2CF9AE}" pid="9" name="MSIP_Label_11c28e5d-eba5-4573-b5ae-aae16f0d8d9b_Tag">
    <vt:lpwstr>10, 0, 1, 1</vt:lpwstr>
  </property>
</Properties>
</file>